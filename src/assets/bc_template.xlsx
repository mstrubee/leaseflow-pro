
<file path=[Content_Types].xml><?xml version="1.0" encoding="utf-8"?>
<Types xmlns="http://schemas.openxmlformats.org/package/2006/content-types">
  <Default Extension="png" ContentType="image/png"/>
  <Default Extension="emf" ContentType="image/emf"/>
  <Default Extension="svg" ContentType="image/sv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42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20" windowWidth="22740" windowHeight="16820" activeTab="11"/>
  </bookViews>
  <sheets>
    <sheet sheetId="38" name="Datos" state="visible" r:id="rId4"/>
    <sheet sheetId="37" name="Resumen business case" state="visible" r:id="rId5"/>
    <sheet sheetId="42" name="Supuestos" state="visible" r:id="rId6"/>
    <sheet sheetId="15" name="WACC Data" state="hidden" r:id="rId7"/>
  </sheets>
  <definedNames>
    <definedName name="budyn">'[1]Data'!$D$3:$D$4</definedName>
    <definedName name="Start_Year">'[2]Main'!$C$9</definedName>
    <definedName name="stream">'[1]Data'!$B$3:$B$11</definedName>
    <definedName name="years">'[1]Data'!$F$3:$F$10</definedName>
  </definedNames>
  <calcPr calcId="171027"/>
</workbook>
</file>

<file path=xl/sharedStrings.xml><?xml version="1.0" encoding="utf-8"?>
<sst xmlns="http://schemas.openxmlformats.org/spreadsheetml/2006/main" count="184" uniqueCount="148">
  <si>
    <t>Datos</t>
  </si>
  <si>
    <t>Resumen Ejecutivo NUEVO LOCAL</t>
  </si>
  <si>
    <t>Nueva Tienda</t>
  </si>
  <si>
    <t>Reubicaciones</t>
  </si>
  <si>
    <t>Fecha</t>
  </si>
  <si>
    <t>Tasas de Rendimiento</t>
  </si>
  <si>
    <t>TIR</t>
  </si>
  <si>
    <t>Comuna</t>
  </si>
  <si>
    <t>Vitacura</t>
  </si>
  <si>
    <t>VAN</t>
  </si>
  <si>
    <t>Ubicación</t>
  </si>
  <si>
    <t>Americo Vespucio 2515</t>
  </si>
  <si>
    <t>Tipo</t>
  </si>
  <si>
    <t>Autoplanet</t>
  </si>
  <si>
    <t>Superficie Local</t>
  </si>
  <si>
    <t>mt2</t>
  </si>
  <si>
    <t>Valor x mt2</t>
  </si>
  <si>
    <t>2 meses de gracia</t>
  </si>
  <si>
    <t xml:space="preserve">Contrato Arriendo </t>
  </si>
  <si>
    <t>Años</t>
  </si>
  <si>
    <t>Renovable 5 años. Clausula salida desde mes 36</t>
  </si>
  <si>
    <t>Canon</t>
  </si>
  <si>
    <t>UF</t>
  </si>
  <si>
    <t>Gasto comun</t>
  </si>
  <si>
    <t>Inicio</t>
  </si>
  <si>
    <t>Periodo Gracia / Habilitación</t>
  </si>
  <si>
    <t>meses</t>
  </si>
  <si>
    <t>Inicio pago Canon</t>
  </si>
  <si>
    <t>Fecha estimada de Finalización</t>
  </si>
  <si>
    <t>Inversión Habilitacion</t>
  </si>
  <si>
    <t>$ Clp</t>
  </si>
  <si>
    <t>Mobiliario AF</t>
  </si>
  <si>
    <t>Inversion Inventario</t>
  </si>
  <si>
    <t>Inversion Tecnologia</t>
  </si>
  <si>
    <t>Inversion Marketing</t>
  </si>
  <si>
    <t>Garantia</t>
  </si>
  <si>
    <t>Cobro por Instalaciones</t>
  </si>
  <si>
    <t>Tasa de descuento</t>
  </si>
  <si>
    <t>Periodo de Recuperación (Año)</t>
  </si>
  <si>
    <t>años</t>
  </si>
  <si>
    <t>año 2032</t>
  </si>
  <si>
    <t>Rentabilidad al 4 año</t>
  </si>
  <si>
    <r>
      <t xml:space="preserve">Resumen Comercial
</t>
    </r>
    <r>
      <rPr>
        <i/>
        <color theme="0"/>
        <family val="2"/>
        <sz val="9"/>
        <rFont val="Aptos"/>
      </rPr>
      <t>(Negociación avanzada)</t>
    </r>
  </si>
  <si>
    <t>Tipo de Operación</t>
  </si>
  <si>
    <t>Arriendo de caja</t>
  </si>
  <si>
    <t>Datos de Operador</t>
  </si>
  <si>
    <t>Juan Martinez (inversionista local)</t>
  </si>
  <si>
    <t>Superficie Total</t>
  </si>
  <si>
    <t>500 mt2</t>
  </si>
  <si>
    <t>Estacionamientos</t>
  </si>
  <si>
    <t>Sí, 6 autos + espacio de exhibicion</t>
  </si>
  <si>
    <t>Visibilidad</t>
  </si>
  <si>
    <t>Alta. Es buena desde avenida</t>
  </si>
  <si>
    <t>Accesibilidad</t>
  </si>
  <si>
    <t>Alta. Comodo para carga y descarga</t>
  </si>
  <si>
    <t>Estado Actual</t>
  </si>
  <si>
    <t>Construído 300 mt2 en 1 planta que usariamos como Showroom y bodega de implementos y repuesto spesados. Segundo nivel: servicios a colaboradores y bodega elementos pequeños.</t>
  </si>
  <si>
    <t>Plazo de arriendo</t>
  </si>
  <si>
    <t>10 años</t>
  </si>
  <si>
    <t>Fecha entrega local estimada</t>
  </si>
  <si>
    <t>Fecha apertura local estimada</t>
  </si>
  <si>
    <t>Salida para arrendatario</t>
  </si>
  <si>
    <t>Año 3</t>
  </si>
  <si>
    <t>Renovación de contrato</t>
  </si>
  <si>
    <t>Sí, Unilateral 60 meses (una vez)</t>
  </si>
  <si>
    <t>Garantía</t>
  </si>
  <si>
    <t>Reajuste</t>
  </si>
  <si>
    <t>No se consideran</t>
  </si>
  <si>
    <t>Gastos Comunes</t>
  </si>
  <si>
    <t>Otros</t>
  </si>
  <si>
    <t>📍 Ficha de Mercado Automotriz - Casablanca</t>
  </si>
  <si>
    <r>
      <t>•</t>
    </r>
    <r>
      <rPr>
        <b/>
        <color rgb="FF7F7F7F"/>
        <sz val="9"/>
        <rFont val="Montserrat"/>
      </rPr>
      <t>Parque Automotriz:</t>
    </r>
    <r>
      <rPr>
        <color rgb="FF7F7F7F"/>
        <sz val="9"/>
        <rFont val="Montserrat"/>
      </rPr>
      <t xml:space="preserve"> 18.000 vehículos </t>
    </r>
  </si>
  <si>
    <r>
      <t>•</t>
    </r>
    <r>
      <rPr>
        <b/>
        <color rgb="FF7F7F7F"/>
        <sz val="9"/>
        <rFont val="Montserrat"/>
      </rPr>
      <t>Segmento GSE:</t>
    </r>
    <r>
      <rPr>
        <color rgb="FF7F7F7F"/>
        <sz val="9"/>
        <rFont val="Montserrat"/>
      </rPr>
      <t xml:space="preserve"> Predominantemente </t>
    </r>
    <r>
      <rPr>
        <b/>
        <color rgb="FF7F7F7F"/>
        <sz val="9"/>
        <rFont val="Montserrat"/>
      </rPr>
      <t>C3-D</t>
    </r>
  </si>
  <si>
    <r>
      <t>•</t>
    </r>
    <r>
      <rPr>
        <b/>
        <color rgb="FF7F7F7F"/>
        <sz val="9"/>
        <rFont val="Montserrat"/>
      </rPr>
      <t>Hogares:</t>
    </r>
    <r>
      <rPr>
        <color rgb="FF7F7F7F"/>
        <sz val="9"/>
        <rFont val="Montserrat"/>
      </rPr>
      <t xml:space="preserve"> Aproximadamente </t>
    </r>
    <r>
      <rPr>
        <b/>
        <color rgb="FF7F7F7F"/>
        <sz val="9"/>
        <rFont val="Montserrat"/>
      </rPr>
      <t>8.500</t>
    </r>
  </si>
  <si>
    <r>
      <t>•</t>
    </r>
    <r>
      <rPr>
        <b/>
        <color rgb="FF7F7F7F"/>
        <sz val="9"/>
        <rFont val="Montserrat"/>
      </rPr>
      <t>Tienda Símil:</t>
    </r>
    <r>
      <rPr>
        <color rgb="FF7F7F7F"/>
        <sz val="9"/>
        <rFont val="Montserrat"/>
      </rPr>
      <t xml:space="preserve"> Autoplanet Quillota</t>
    </r>
  </si>
  <si>
    <r>
      <t>•</t>
    </r>
    <r>
      <rPr>
        <b/>
        <color rgb="FF7F7F7F"/>
        <sz val="9"/>
        <rFont val="Montserrat"/>
      </rPr>
      <t>Potencial Mercado (USD):</t>
    </r>
    <r>
      <rPr>
        <color rgb="FF7F7F7F"/>
        <sz val="9"/>
        <rFont val="Montserrat"/>
      </rPr>
      <t xml:space="preserve"> Estimado en </t>
    </r>
    <r>
      <rPr>
        <b/>
        <color rgb="FF7F7F7F"/>
        <sz val="9"/>
        <rFont val="Montserrat"/>
      </rPr>
      <t>$600.000 USD</t>
    </r>
    <r>
      <rPr>
        <color rgb="FF7F7F7F"/>
        <sz val="9"/>
        <rFont val="Montserrat"/>
      </rPr>
      <t xml:space="preserve"> anuales, considerando densidad vehicular, nivel socioeconómico y demanda de repuestos y servicios básicos.</t>
    </r>
  </si>
  <si>
    <r>
      <t>•</t>
    </r>
    <r>
      <rPr>
        <b/>
        <color rgb="FF7F7F7F"/>
        <sz val="9"/>
        <rFont val="Montserrat"/>
      </rPr>
      <t>Ventas Anuales en Maduración:</t>
    </r>
    <r>
      <rPr>
        <color rgb="FF7F7F7F"/>
        <sz val="9"/>
        <rFont val="Montserrat"/>
      </rPr>
      <t xml:space="preserve"> Aproximadamente </t>
    </r>
    <r>
      <rPr>
        <b/>
        <color rgb="FF7F7F7F"/>
        <sz val="9"/>
        <rFont val="Montserrat"/>
      </rPr>
      <t>MM$80</t>
    </r>
  </si>
  <si>
    <r>
      <t>•</t>
    </r>
    <r>
      <rPr>
        <b/>
        <color rgb="FF7F7F7F"/>
        <sz val="9"/>
        <rFont val="Montserrat"/>
      </rPr>
      <t>Giros Talleres Mecánicos SII:</t>
    </r>
    <r>
      <rPr>
        <color rgb="FF7F7F7F"/>
        <sz val="9"/>
        <rFont val="Montserrat"/>
      </rPr>
      <t xml:space="preserve"> Se registran </t>
    </r>
    <r>
      <rPr>
        <b/>
        <color rgb="FF7F7F7F"/>
        <sz val="9"/>
        <rFont val="Montserrat"/>
      </rPr>
      <t>35 giros activos</t>
    </r>
  </si>
  <si>
    <t>Año</t>
  </si>
  <si>
    <t>Ingresos</t>
  </si>
  <si>
    <t>Venta / mes</t>
  </si>
  <si>
    <t>Corregido</t>
  </si>
  <si>
    <t>Ventas (CLP)</t>
  </si>
  <si>
    <t>Ventas (CLP)/mes</t>
  </si>
  <si>
    <t>Costo por ventas</t>
  </si>
  <si>
    <t>Costos por ventas</t>
  </si>
  <si>
    <t>Margen directo %</t>
  </si>
  <si>
    <t>Otros Costos directos</t>
  </si>
  <si>
    <t>Costos Directos</t>
  </si>
  <si>
    <t>Costos Variables</t>
  </si>
  <si>
    <t>Margen%</t>
  </si>
  <si>
    <t>Margen de contribucion $</t>
  </si>
  <si>
    <t>Año 1</t>
  </si>
  <si>
    <t>Margen de contribucion %</t>
  </si>
  <si>
    <t>Costos Variales</t>
  </si>
  <si>
    <t>Gastos Personal</t>
  </si>
  <si>
    <t>Publicidad y Promocion</t>
  </si>
  <si>
    <t>Capital empleado</t>
  </si>
  <si>
    <t>Gastos Generales</t>
  </si>
  <si>
    <t>Tecnologia</t>
  </si>
  <si>
    <t>CXP</t>
  </si>
  <si>
    <t>Ocupacion (sin Arrdo)</t>
  </si>
  <si>
    <t>CXC</t>
  </si>
  <si>
    <t>Canon Arriendo</t>
  </si>
  <si>
    <t>Inventario</t>
  </si>
  <si>
    <t>Total Capital empleado</t>
  </si>
  <si>
    <t>GAVs</t>
  </si>
  <si>
    <t>EBITDA</t>
  </si>
  <si>
    <t>Gastos generales</t>
  </si>
  <si>
    <t>Ebitda/vta</t>
  </si>
  <si>
    <t xml:space="preserve">Año </t>
  </si>
  <si>
    <t>Depreciación y Amortizacion</t>
  </si>
  <si>
    <t>EBIT</t>
  </si>
  <si>
    <t>ROS%</t>
  </si>
  <si>
    <t>Intereses (-)</t>
  </si>
  <si>
    <t>UAI</t>
  </si>
  <si>
    <t>Impuesto%</t>
  </si>
  <si>
    <t>Impuesto</t>
  </si>
  <si>
    <t>Análisis Financiero</t>
  </si>
  <si>
    <t>UDI</t>
  </si>
  <si>
    <t>Depreciación</t>
  </si>
  <si>
    <t>Capex</t>
  </si>
  <si>
    <t xml:space="preserve">Intereses </t>
  </si>
  <si>
    <t>Flujo operativo</t>
  </si>
  <si>
    <t>Activo Fijo</t>
  </si>
  <si>
    <t>PAYBACK</t>
  </si>
  <si>
    <t>Impuestos</t>
  </si>
  <si>
    <t>PAYBACK años</t>
  </si>
  <si>
    <t>extraido de la hoja "Control"</t>
  </si>
  <si>
    <t>Activos Netos Totales</t>
  </si>
  <si>
    <t>Capital de Trabajo</t>
  </si>
  <si>
    <t>Rentabilidad</t>
  </si>
  <si>
    <t>Graficos</t>
  </si>
  <si>
    <t>Data Inputs</t>
  </si>
  <si>
    <t>WACC</t>
  </si>
  <si>
    <t>Country</t>
  </si>
  <si>
    <t>Country Risk Premium</t>
  </si>
  <si>
    <t>Argentina</t>
  </si>
  <si>
    <t>Chile</t>
  </si>
  <si>
    <t>Colombia</t>
  </si>
  <si>
    <t>Costa Rica</t>
  </si>
  <si>
    <t>Djbouti</t>
  </si>
  <si>
    <t>Ecuador</t>
  </si>
  <si>
    <t>Ethiopia</t>
  </si>
  <si>
    <t>Kenya</t>
  </si>
  <si>
    <t>Panama</t>
  </si>
  <si>
    <t>Peru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</si>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</sst>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.00;[Red]&quot;$&quot;-#,##0.00"/>
    <numFmt numFmtId="165" formatCode="0.0"/>
    <numFmt numFmtId="166" formatCode="0.00 &quot;UF/m2&quot;"/>
    <numFmt numFmtId="167" formatCode="_ * #,##0_ ;_ * -#,##0_ ;_ * &quot;-&quot;_ ;_ @_ "/>
    <numFmt numFmtId="168" formatCode="0 &quot;Meses año 1&quot;"/>
    <numFmt numFmtId="169" formatCode="0 &quot;mm$&quot;"/>
    <numFmt numFmtId="170" formatCode="_ * &quot;$&quot;#,##0,,_ ;_ * -#,##0_ ;_ * &quot;-&quot;_ ;_ @_ "/>
    <numFmt numFmtId="171" formatCode="0 &quot;UF&quot;"/>
    <numFmt numFmtId="172" formatCode="_ * #,##0.00_ ;_ * -#,##0.00_ ;_ * &quot;-&quot;_ ;_ @_ "/>
    <numFmt numFmtId="173" formatCode="0.0%"/>
  </numFmts>
  <fonts count="25" x14ac:knownFonts="1">
    <font>
      <color theme="1"/>
      <family val="2"/>
      <scheme val="minor"/>
      <sz val="11"/>
      <name val="Calibri"/>
    </font>
    <font>
      <color theme="1"/>
      <family val="2"/>
      <sz val="11"/>
      <name val="Aptos"/>
    </font>
    <font>
      <color rgb="FFC00000"/>
      <family val="2"/>
      <sz val="11"/>
      <name val="Aptos"/>
    </font>
    <font>
      <b/>
      <color theme="0"/>
      <family val="2"/>
      <sz val="20"/>
      <name val="Aptos"/>
    </font>
    <font>
      <color rgb="FFC0003F"/>
      <family val="2"/>
      <sz val="11"/>
      <name val="Aptos"/>
    </font>
    <font>
      <b/>
      <color theme="0"/>
      <family val="2"/>
      <sz val="11"/>
      <name val="Aptos"/>
    </font>
    <font>
      <family val="2"/>
      <sz val="11"/>
      <name val="Aptos"/>
    </font>
    <font>
      <b/>
      <color rgb="FFFF0000"/>
      <sz val="11"/>
      <name val="Aptos"/>
    </font>
    <font>
      <b/>
      <color rgb="FFFF0000"/>
      <family val="2"/>
      <sz val="11"/>
      <name val="Aptos"/>
    </font>
    <font>
      <b/>
      <color rgb="FF7F7F7F"/>
      <sz val="9"/>
      <name val="+mn-ea"/>
    </font>
    <font>
      <color theme="1"/>
      <family val="2"/>
      <sz val="9"/>
      <name val="Arial"/>
    </font>
    <font>
      <b/>
      <color theme="1"/>
      <family val="2"/>
      <scheme val="minor"/>
      <sz val="18"/>
      <name val="Calibri"/>
    </font>
    <font>
      <b/>
      <color theme="0"/>
      <family val="2"/>
      <sz val="12"/>
      <name val="Aptos"/>
    </font>
    <font>
      <b/>
      <color rgb="FFFF0000"/>
      <family val="2"/>
      <scheme val="minor"/>
      <sz val="11"/>
      <name val="Calibri"/>
    </font>
    <font>
      <color theme="0"/>
      <family val="2"/>
      <sz val="11"/>
      <name val="Aptos"/>
    </font>
    <font>
      <color rgb="FFFF0000"/>
      <family val="2"/>
      <sz val="11"/>
      <name val="Aptos"/>
    </font>
    <font>
      <b/>
      <color theme="1"/>
      <family val="2"/>
      <sz val="11"/>
      <name val="Aptos"/>
    </font>
    <font>
      <b/>
      <family val="2"/>
      <sz val="11"/>
      <name val="Aptos"/>
    </font>
    <font>
      <b/>
      <color theme="0"/>
      <family val="2"/>
      <scheme val="minor"/>
      <sz val="11"/>
      <name val="Calibri"/>
    </font>
    <font>
      <b/>
      <color theme="0"/>
      <family val="2"/>
      <scheme val="minor"/>
      <sz val="22"/>
      <name val="Calibri"/>
    </font>
    <font>
      <b/>
      <color theme="1"/>
      <family val="2"/>
      <scheme val="minor"/>
      <sz val="11"/>
      <name val="Calibri"/>
    </font>
    <font>
      <b/>
      <color rgb="FF000000"/>
      <family val="2"/>
      <scheme val="minor"/>
      <sz val="9"/>
      <name val="Calibri"/>
    </font>
    <font>
      <color rgb="FF000000"/>
      <family val="2"/>
      <scheme val="minor"/>
      <sz val="10"/>
      <name val="Calibri"/>
    </font>
    <font>
      <color rgb="FF000000"/>
      <family val="2"/>
      <scheme val="minor"/>
      <sz val="9"/>
      <name val="Calibri"/>
    </font>
    <font>
      <i/>
      <color rgb="FF000000"/>
      <family val="2"/>
      <scheme val="minor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79B80C"/>
        <bgColor indexed="64"/>
      </patternFill>
    </fill>
    <fill>
      <patternFill patternType="solid">
        <fgColor rgb="FFC0003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 style="medium">
        <color rgb="FF79B80C"/>
      </left>
      <right/>
      <top style="medium">
        <color rgb="FF79B80C"/>
      </top>
      <bottom/>
      <diagonal/>
    </border>
    <border>
      <left style="thin">
        <color rgb="FF79B80C"/>
      </left>
      <right style="medium">
        <color rgb="FF79B80C"/>
      </right>
      <top style="medium">
        <color rgb="FF79B80C"/>
      </top>
      <bottom/>
      <diagonal/>
    </border>
    <border>
      <left style="medium">
        <color rgb="FFC00000"/>
      </left>
      <right/>
      <top/>
      <bottom style="hair">
        <color theme="5" tint="0.799981688894314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hair">
        <color theme="5" tint="0.7999816888943144"/>
      </bottom>
      <diagonal/>
    </border>
    <border>
      <left style="medium">
        <color rgb="FF79B80C"/>
      </left>
      <right style="medium">
        <color rgb="FF79B80C"/>
      </right>
      <top style="medium">
        <color rgb="FF79B80C"/>
      </top>
      <bottom/>
      <diagonal/>
    </border>
    <border>
      <left/>
      <right/>
      <top style="medium">
        <color rgb="FF79B80C"/>
      </top>
      <bottom/>
      <diagonal/>
    </border>
    <border>
      <left style="medium">
        <color rgb="FF79B80C"/>
      </left>
      <right style="thin">
        <color rgb="FF79B80C"/>
      </right>
      <top style="medium">
        <color rgb="FF79B80C"/>
      </top>
      <bottom style="thin">
        <color rgb="FF79B80C"/>
      </bottom>
      <diagonal/>
    </border>
    <border>
      <left/>
      <right style="medium">
        <color rgb="FF79B80C"/>
      </right>
      <top style="medium">
        <color rgb="FF79B80C"/>
      </top>
      <bottom style="thin">
        <color rgb="FF79B80C"/>
      </bottom>
      <diagonal/>
    </border>
    <border>
      <left style="medium">
        <color rgb="FFC00000"/>
      </left>
      <right/>
      <top style="hair">
        <color theme="5" tint="0.7999816888943144"/>
      </top>
      <bottom style="hair">
        <color theme="5" tint="0.7999816888943144"/>
      </bottom>
      <diagonal/>
    </border>
    <border>
      <left style="medium">
        <color rgb="FFC00000"/>
      </left>
      <right style="medium">
        <color rgb="FFC00000"/>
      </right>
      <top style="hair">
        <color theme="5" tint="0.7999816888943144"/>
      </top>
      <bottom style="hair">
        <color theme="5" tint="0.7999816888943144"/>
      </bottom>
      <diagonal/>
    </border>
    <border>
      <left style="medium">
        <color rgb="FF79B80C"/>
      </left>
      <right style="medium">
        <color rgb="FF79B80C"/>
      </right>
      <top/>
      <bottom style="medium">
        <color rgb="FF79B80C"/>
      </bottom>
      <diagonal/>
    </border>
    <border>
      <left/>
      <right/>
      <top style="thin">
        <color rgb="FF79B80C"/>
      </top>
      <bottom style="medium">
        <color rgb="FF79B80C"/>
      </bottom>
      <diagonal/>
    </border>
    <border>
      <left style="medium">
        <color rgb="FF79B80C"/>
      </left>
      <right style="thin">
        <color rgb="FF79B80C"/>
      </right>
      <top style="thin">
        <color rgb="FF79B80C"/>
      </top>
      <bottom style="medium">
        <color rgb="FF79B80C"/>
      </bottom>
      <diagonal/>
    </border>
    <border>
      <left/>
      <right style="medium">
        <color rgb="FF79B80C"/>
      </right>
      <top style="thin">
        <color rgb="FF79B80C"/>
      </top>
      <bottom style="medium">
        <color rgb="FF79B80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hair">
        <color theme="5" tint="0.7999816888943144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hair">
        <color theme="5" tint="0.7999816888943144"/>
      </top>
      <bottom style="medium">
        <color rgb="FFC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 style="medium">
        <color rgb="FF79B80C"/>
      </right>
      <top style="medium">
        <color rgb="FF79B80C"/>
      </top>
      <bottom/>
      <diagonal/>
    </border>
    <border>
      <left style="medium">
        <color rgb="FFC00000"/>
      </left>
      <right/>
      <top/>
      <bottom style="thin">
        <color rgb="FFEA5454"/>
      </bottom>
      <diagonal/>
    </border>
    <border>
      <left/>
      <right/>
      <top/>
      <bottom style="thin">
        <color rgb="FFEA5454"/>
      </bottom>
      <diagonal/>
    </border>
    <border>
      <left/>
      <right style="medium">
        <color rgb="FFC00000"/>
      </right>
      <top/>
      <bottom style="thin">
        <color rgb="FFEA5454"/>
      </bottom>
      <diagonal/>
    </border>
    <border>
      <left/>
      <right style="medium">
        <color rgb="FF79B80C"/>
      </right>
      <top/>
      <bottom/>
      <diagonal/>
    </border>
    <border>
      <left style="medium">
        <color rgb="FFC00000"/>
      </left>
      <right/>
      <top style="thin">
        <color theme="0"/>
      </top>
      <bottom style="thin">
        <color theme="0"/>
      </bottom>
      <diagonal/>
    </border>
    <border>
      <left/>
      <right style="medium">
        <color rgb="FFC00000"/>
      </right>
      <top/>
      <bottom/>
      <diagonal/>
    </border>
    <border>
      <left/>
      <right/>
      <top/>
      <bottom style="medium">
        <color rgb="FF79B80C"/>
      </bottom>
      <diagonal/>
    </border>
    <border>
      <left style="medium">
        <color rgb="FF79B80C"/>
      </left>
      <right style="medium">
        <color rgb="FF79B80C"/>
      </right>
      <top/>
      <bottom/>
      <diagonal/>
    </border>
    <border>
      <left/>
      <right style="medium">
        <color rgb="FF79B80C"/>
      </right>
      <top/>
      <bottom style="medium">
        <color rgb="FF79B80C"/>
      </bottom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theme="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/>
      <top/>
      <bottom style="thin">
        <color rgb="FF79B80C"/>
      </bottom>
      <diagonal/>
    </border>
    <border>
      <left style="medium">
        <color rgb="FF79B80C"/>
      </left>
      <right/>
      <top/>
      <bottom style="medium">
        <color rgb="FF79B80C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4" fontId="1" fillId="0" borderId="4" xfId="0" applyNumberFormat="1" applyFont="1" applyBorder="1" applyAlignment="1">
      <alignment horizontal="right" vertical="center"/>
    </xf>
    <xf numFmtId="0" fontId="5" fillId="2" borderId="5" xfId="0" applyFont="1" applyFill="1" applyBorder="1" applyAlignment="1">
      <alignment horizontal="center" vertical="center" wrapText="1" textRotation="90"/>
    </xf>
    <xf numFmtId="0" fontId="6" fillId="4" borderId="6" xfId="0" applyFont="1" applyFill="1" applyBorder="1"/>
    <xf numFmtId="9" fontId="1" fillId="0" borderId="7" xfId="0" applyNumberFormat="1" applyFont="1" applyBorder="1"/>
    <xf numFmtId="0" fontId="1" fillId="0" borderId="8" xfId="0" applyFont="1" applyBorder="1"/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 textRotation="90"/>
    </xf>
    <xf numFmtId="0" fontId="6" fillId="4" borderId="12" xfId="0" applyFont="1" applyFill="1" applyBorder="1"/>
    <xf numFmtId="164" fontId="1" fillId="0" borderId="13" xfId="0" applyNumberFormat="1" applyFont="1" applyBorder="1"/>
    <xf numFmtId="0" fontId="1" fillId="0" borderId="14" xfId="0" applyFont="1" applyBorder="1"/>
    <xf numFmtId="0" fontId="1" fillId="0" borderId="10" xfId="0" applyFont="1" applyBorder="1" applyAlignment="1">
      <alignment horizontal="right" vertical="center" wrapText="1"/>
    </xf>
    <xf numFmtId="0" fontId="7" fillId="5" borderId="0" xfId="0" applyFont="1" applyFill="1"/>
    <xf numFmtId="2" fontId="1" fillId="0" borderId="10" xfId="0" applyNumberFormat="1" applyFont="1" applyBorder="1" applyAlignment="1">
      <alignment horizontal="right" vertical="center"/>
    </xf>
    <xf numFmtId="165" fontId="1" fillId="6" borderId="10" xfId="0" applyNumberFormat="1" applyFont="1" applyFill="1" applyBorder="1" applyAlignment="1">
      <alignment horizontal="right" vertical="center"/>
    </xf>
    <xf numFmtId="166" fontId="8" fillId="5" borderId="0" xfId="0" applyNumberFormat="1" applyFont="1" applyFill="1" applyAlignment="1">
      <alignment horizontal="left"/>
    </xf>
    <xf numFmtId="14" fontId="1" fillId="0" borderId="10" xfId="0" applyNumberFormat="1" applyFont="1" applyBorder="1" applyAlignment="1">
      <alignment horizontal="right" vertical="center"/>
    </xf>
    <xf numFmtId="167" fontId="1" fillId="0" borderId="10" xfId="0" applyNumberFormat="1" applyFont="1" applyBorder="1" applyAlignment="1">
      <alignment horizontal="right" vertical="center"/>
    </xf>
    <xf numFmtId="0" fontId="8" fillId="0" borderId="0" xfId="0" applyFont="1"/>
    <xf numFmtId="168" fontId="1" fillId="0" borderId="0" xfId="0" applyNumberFormat="1" applyFont="1" applyAlignment="1">
      <alignment horizontal="right" vertical="center"/>
    </xf>
    <xf numFmtId="14" fontId="1" fillId="0" borderId="10" xfId="0" applyNumberFormat="1" applyFont="1" applyBorder="1" applyAlignment="1">
      <alignment vertical="center"/>
    </xf>
    <xf numFmtId="169" fontId="8" fillId="5" borderId="15" xfId="0" applyNumberFormat="1" applyFont="1" applyFill="1" applyBorder="1" applyAlignment="1">
      <alignment horizontal="right"/>
    </xf>
    <xf numFmtId="170" fontId="1" fillId="0" borderId="10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167" fontId="1" fillId="0" borderId="17" xfId="0" applyNumberFormat="1" applyFont="1" applyBorder="1" applyAlignment="1">
      <alignment vertical="center"/>
    </xf>
    <xf numFmtId="9" fontId="1" fillId="0" borderId="10" xfId="0" applyNumberFormat="1" applyFont="1" applyBorder="1" applyAlignment="1">
      <alignment vertical="center"/>
    </xf>
    <xf numFmtId="167" fontId="1" fillId="0" borderId="10" xfId="0" applyNumberFormat="1" applyFont="1" applyBorder="1" applyAlignment="1">
      <alignment vertical="center"/>
    </xf>
    <xf numFmtId="0" fontId="1" fillId="0" borderId="18" xfId="0" applyFont="1" applyBorder="1" applyAlignment="1">
      <alignment horizontal="center"/>
    </xf>
    <xf numFmtId="10" fontId="1" fillId="0" borderId="17" xfId="0" applyNumberFormat="1" applyFont="1" applyBorder="1" applyAlignment="1">
      <alignment vertical="center"/>
    </xf>
    <xf numFmtId="171" fontId="1" fillId="0" borderId="19" xfId="0" applyNumberFormat="1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172" fontId="1" fillId="0" borderId="17" xfId="0" applyNumberFormat="1" applyFont="1" applyBorder="1" applyAlignment="1">
      <alignment vertical="center"/>
    </xf>
    <xf numFmtId="0" fontId="5" fillId="7" borderId="23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1" fillId="0" borderId="24" xfId="0" applyFont="1" applyBorder="1"/>
    <xf numFmtId="0" fontId="1" fillId="0" borderId="24" xfId="0" applyFont="1" applyBorder="1" applyAlignment="1">
      <alignment horizontal="left" vertical="center" wrapText="1"/>
    </xf>
    <xf numFmtId="0" fontId="1" fillId="0" borderId="25" xfId="0" applyFont="1" applyBorder="1"/>
    <xf numFmtId="0" fontId="1" fillId="0" borderId="0" xfId="0" applyFont="1" applyAlignment="1">
      <alignment horizontal="left" vertical="top"/>
    </xf>
    <xf numFmtId="0" fontId="1" fillId="0" borderId="24" xfId="0" applyFont="1" applyBorder="1" applyAlignment="1">
      <alignment horizontal="left" vertical="center"/>
    </xf>
    <xf numFmtId="0" fontId="1" fillId="0" borderId="24" xfId="0" applyFont="1" applyBorder="1" applyAlignment="1">
      <alignment vertical="center"/>
    </xf>
    <xf numFmtId="17" fontId="1" fillId="0" borderId="24" xfId="0" applyNumberFormat="1" applyFont="1" applyBorder="1" applyAlignment="1">
      <alignment horizontal="left" vertical="center" wrapText="1"/>
    </xf>
    <xf numFmtId="167" fontId="1" fillId="0" borderId="24" xfId="0" applyNumberFormat="1" applyFont="1" applyBorder="1" applyAlignment="1">
      <alignment vertical="center" wrapText="1"/>
    </xf>
    <xf numFmtId="171" fontId="1" fillId="0" borderId="24" xfId="0" applyNumberFormat="1" applyFont="1" applyBorder="1" applyAlignment="1">
      <alignment horizontal="left" vertical="center" wrapText="1"/>
    </xf>
    <xf numFmtId="0" fontId="1" fillId="0" borderId="26" xfId="0" applyFont="1" applyBorder="1"/>
    <xf numFmtId="9" fontId="1" fillId="0" borderId="26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readingOrder="1"/>
    </xf>
    <xf numFmtId="0" fontId="10" fillId="0" borderId="0" xfId="0" applyFont="1" applyAlignment="1">
      <alignment horizontal="left" vertical="center" readingOrder="1"/>
    </xf>
    <xf numFmtId="0" fontId="0" fillId="3" borderId="0" xfId="0" applyFill="1"/>
    <xf numFmtId="0" fontId="11" fillId="3" borderId="0" xfId="0" applyFont="1" applyFill="1"/>
    <xf numFmtId="0" fontId="0" fillId="8" borderId="0" xfId="0" applyFill="1"/>
    <xf numFmtId="0" fontId="1" fillId="8" borderId="0" xfId="0" applyFont="1" applyFill="1"/>
    <xf numFmtId="0" fontId="12" fillId="3" borderId="27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/>
    </xf>
    <xf numFmtId="167" fontId="6" fillId="4" borderId="20" xfId="0" applyNumberFormat="1" applyFont="1" applyFill="1" applyBorder="1"/>
    <xf numFmtId="0" fontId="6" fillId="4" borderId="0" xfId="0" applyFont="1" applyFill="1"/>
    <xf numFmtId="0" fontId="6" fillId="4" borderId="36" xfId="0" applyFont="1" applyFill="1" applyBorder="1"/>
    <xf numFmtId="0" fontId="8" fillId="8" borderId="0" xfId="0" applyFont="1" applyFill="1"/>
    <xf numFmtId="0" fontId="1" fillId="0" borderId="11" xfId="0" applyFont="1" applyBorder="1" applyAlignment="1">
      <alignment horizontal="center" vertical="center"/>
    </xf>
    <xf numFmtId="167" fontId="1" fillId="0" borderId="37" xfId="0" applyNumberFormat="1" applyFont="1" applyBorder="1"/>
    <xf numFmtId="0" fontId="13" fillId="8" borderId="0" xfId="0" applyFont="1" applyFill="1"/>
    <xf numFmtId="167" fontId="6" fillId="4" borderId="0" xfId="0" applyNumberFormat="1" applyFont="1" applyFill="1"/>
    <xf numFmtId="0" fontId="5" fillId="8" borderId="0" xfId="0" applyFont="1" applyFill="1"/>
    <xf numFmtId="0" fontId="8" fillId="5" borderId="0" xfId="0" applyFont="1" applyFill="1"/>
    <xf numFmtId="167" fontId="6" fillId="4" borderId="36" xfId="0" applyNumberFormat="1" applyFont="1" applyFill="1" applyBorder="1"/>
    <xf numFmtId="0" fontId="1" fillId="9" borderId="20" xfId="0" applyFont="1" applyFill="1" applyBorder="1" applyAlignment="1">
      <alignment horizontal="left"/>
    </xf>
    <xf numFmtId="9" fontId="6" fillId="9" borderId="20" xfId="0" applyNumberFormat="1" applyFont="1" applyFill="1" applyBorder="1"/>
    <xf numFmtId="9" fontId="6" fillId="9" borderId="0" xfId="0" applyNumberFormat="1" applyFont="1" applyFill="1"/>
    <xf numFmtId="9" fontId="6" fillId="9" borderId="36" xfId="0" applyNumberFormat="1" applyFont="1" applyFill="1" applyBorder="1"/>
    <xf numFmtId="0" fontId="14" fillId="2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34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0" fontId="6" fillId="0" borderId="38" xfId="0" applyFont="1" applyBorder="1" applyAlignment="1">
      <alignment horizontal="center" vertical="center"/>
    </xf>
    <xf numFmtId="167" fontId="1" fillId="0" borderId="0" xfId="0" applyNumberFormat="1" applyFont="1"/>
    <xf numFmtId="0" fontId="1" fillId="0" borderId="38" xfId="0" applyFont="1" applyBorder="1" applyAlignment="1">
      <alignment horizontal="center" vertical="center"/>
    </xf>
    <xf numFmtId="9" fontId="1" fillId="0" borderId="0" xfId="0" applyNumberFormat="1" applyFont="1"/>
    <xf numFmtId="9" fontId="15" fillId="5" borderId="0" xfId="0" applyNumberFormat="1" applyFont="1" applyFill="1"/>
    <xf numFmtId="0" fontId="16" fillId="9" borderId="20" xfId="0" applyFont="1" applyFill="1" applyBorder="1" applyAlignment="1">
      <alignment horizontal="left"/>
    </xf>
    <xf numFmtId="167" fontId="17" fillId="9" borderId="20" xfId="0" applyNumberFormat="1" applyFont="1" applyFill="1" applyBorder="1"/>
    <xf numFmtId="167" fontId="17" fillId="9" borderId="0" xfId="0" applyNumberFormat="1" applyFont="1" applyFill="1"/>
    <xf numFmtId="167" fontId="17" fillId="9" borderId="36" xfId="0" applyNumberFormat="1" applyFont="1" applyFill="1" applyBorder="1"/>
    <xf numFmtId="173" fontId="1" fillId="0" borderId="0" xfId="0" applyNumberFormat="1" applyFont="1"/>
    <xf numFmtId="0" fontId="0" fillId="8" borderId="15" xfId="0" applyFill="1" applyBorder="1" applyAlignment="1">
      <alignment horizontal="center" vertical="center"/>
    </xf>
    <xf numFmtId="10" fontId="6" fillId="4" borderId="20" xfId="0" applyNumberFormat="1" applyFont="1" applyFill="1" applyBorder="1"/>
    <xf numFmtId="10" fontId="6" fillId="4" borderId="0" xfId="0" applyNumberFormat="1" applyFont="1" applyFill="1"/>
    <xf numFmtId="10" fontId="6" fillId="4" borderId="36" xfId="0" applyNumberFormat="1" applyFont="1" applyFill="1" applyBorder="1"/>
    <xf numFmtId="173" fontId="1" fillId="0" borderId="37" xfId="0" applyNumberFormat="1" applyFont="1" applyBorder="1"/>
    <xf numFmtId="0" fontId="16" fillId="5" borderId="0" xfId="0" applyFont="1" applyFill="1"/>
    <xf numFmtId="167" fontId="6" fillId="4" borderId="0" xfId="0" applyNumberFormat="1" applyFont="1" applyFill="1" applyAlignment="1">
      <alignment horizontal="left"/>
    </xf>
    <xf numFmtId="167" fontId="1" fillId="0" borderId="34" xfId="0" applyNumberFormat="1" applyFont="1" applyBorder="1"/>
    <xf numFmtId="0" fontId="1" fillId="0" borderId="34" xfId="0" applyFont="1" applyBorder="1"/>
    <xf numFmtId="167" fontId="15" fillId="5" borderId="0" xfId="0" applyNumberFormat="1" applyFont="1" applyFill="1"/>
    <xf numFmtId="167" fontId="15" fillId="5" borderId="34" xfId="0" applyNumberFormat="1" applyFont="1" applyFill="1" applyBorder="1"/>
    <xf numFmtId="167" fontId="1" fillId="0" borderId="39" xfId="0" applyNumberFormat="1" applyFont="1" applyBorder="1"/>
    <xf numFmtId="0" fontId="1" fillId="10" borderId="35" xfId="0" applyFont="1" applyFill="1" applyBorder="1" applyAlignment="1">
      <alignment horizontal="left"/>
    </xf>
    <xf numFmtId="167" fontId="6" fillId="10" borderId="20" xfId="0" applyNumberFormat="1" applyFont="1" applyFill="1" applyBorder="1"/>
    <xf numFmtId="167" fontId="6" fillId="10" borderId="0" xfId="0" applyNumberFormat="1" applyFont="1" applyFill="1"/>
    <xf numFmtId="167" fontId="6" fillId="10" borderId="36" xfId="0" applyNumberFormat="1" applyFont="1" applyFill="1" applyBorder="1"/>
    <xf numFmtId="0" fontId="1" fillId="10" borderId="40" xfId="0" applyFont="1" applyFill="1" applyBorder="1" applyAlignment="1">
      <alignment horizontal="left"/>
    </xf>
    <xf numFmtId="167" fontId="6" fillId="10" borderId="40" xfId="0" applyNumberFormat="1" applyFont="1" applyFill="1" applyBorder="1"/>
    <xf numFmtId="9" fontId="6" fillId="10" borderId="41" xfId="0" applyNumberFormat="1" applyFont="1" applyFill="1" applyBorder="1"/>
    <xf numFmtId="9" fontId="6" fillId="10" borderId="42" xfId="0" applyNumberFormat="1" applyFont="1" applyFill="1" applyBorder="1"/>
    <xf numFmtId="173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8" borderId="36" xfId="0" applyFont="1" applyFill="1" applyBorder="1"/>
    <xf numFmtId="9" fontId="6" fillId="4" borderId="20" xfId="0" applyNumberFormat="1" applyFont="1" applyFill="1" applyBorder="1"/>
    <xf numFmtId="9" fontId="6" fillId="4" borderId="0" xfId="0" applyNumberFormat="1" applyFont="1" applyFill="1"/>
    <xf numFmtId="9" fontId="6" fillId="4" borderId="36" xfId="0" applyNumberFormat="1" applyFont="1" applyFill="1" applyBorder="1"/>
    <xf numFmtId="0" fontId="0" fillId="8" borderId="36" xfId="0" applyFill="1" applyBorder="1"/>
    <xf numFmtId="10" fontId="1" fillId="0" borderId="34" xfId="0" applyNumberFormat="1" applyFont="1" applyBorder="1" applyAlignment="1">
      <alignment vertical="center"/>
    </xf>
    <xf numFmtId="173" fontId="1" fillId="0" borderId="34" xfId="0" applyNumberFormat="1" applyFont="1" applyBorder="1" applyAlignment="1">
      <alignment vertical="center"/>
    </xf>
    <xf numFmtId="0" fontId="18" fillId="2" borderId="37" xfId="0" applyFont="1" applyFill="1" applyBorder="1" applyAlignment="1">
      <alignment horizontal="center"/>
    </xf>
    <xf numFmtId="0" fontId="1" fillId="0" borderId="43" xfId="0" applyFont="1" applyBorder="1" applyAlignment="1">
      <alignment horizontal="left"/>
    </xf>
    <xf numFmtId="9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5" fillId="3" borderId="44" xfId="0" applyFont="1" applyFill="1" applyBorder="1" applyAlignment="1">
      <alignment horizontal="center"/>
    </xf>
    <xf numFmtId="167" fontId="5" fillId="3" borderId="45" xfId="0" applyNumberFormat="1" applyFont="1" applyFill="1" applyBorder="1"/>
    <xf numFmtId="167" fontId="5" fillId="3" borderId="46" xfId="0" applyNumberFormat="1" applyFont="1" applyFill="1" applyBorder="1"/>
    <xf numFmtId="9" fontId="1" fillId="0" borderId="47" xfId="0" applyNumberFormat="1" applyFont="1" applyBorder="1" applyAlignment="1">
      <alignment vertical="center"/>
    </xf>
    <xf numFmtId="0" fontId="5" fillId="2" borderId="48" xfId="0" applyFont="1" applyFill="1" applyBorder="1" applyAlignment="1">
      <alignment horizontal="left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" fillId="4" borderId="20" xfId="0" applyFont="1" applyFill="1" applyBorder="1"/>
    <xf numFmtId="167" fontId="1" fillId="4" borderId="0" xfId="0" applyNumberFormat="1" applyFont="1" applyFill="1"/>
    <xf numFmtId="167" fontId="1" fillId="4" borderId="36" xfId="0" applyNumberFormat="1" applyFont="1" applyFill="1" applyBorder="1"/>
    <xf numFmtId="0" fontId="1" fillId="4" borderId="0" xfId="0" applyFont="1" applyFill="1"/>
    <xf numFmtId="0" fontId="1" fillId="4" borderId="36" xfId="0" applyFont="1" applyFill="1" applyBorder="1"/>
    <xf numFmtId="0" fontId="5" fillId="3" borderId="45" xfId="0" applyFont="1" applyFill="1" applyBorder="1"/>
    <xf numFmtId="167" fontId="0" fillId="8" borderId="0" xfId="0" applyNumberFormat="1" applyFill="1"/>
    <xf numFmtId="0" fontId="1" fillId="0" borderId="44" xfId="0" applyFont="1" applyBorder="1"/>
    <xf numFmtId="167" fontId="0" fillId="0" borderId="46" xfId="0" applyNumberFormat="1" applyBorder="1"/>
    <xf numFmtId="167" fontId="0" fillId="0" borderId="49" xfId="0" applyNumberFormat="1" applyBorder="1"/>
    <xf numFmtId="0" fontId="5" fillId="3" borderId="45" xfId="0" applyFont="1" applyFill="1" applyBorder="1" applyAlignment="1">
      <alignment horizontal="center"/>
    </xf>
    <xf numFmtId="173" fontId="18" fillId="3" borderId="45" xfId="0" applyNumberFormat="1" applyFont="1" applyFill="1" applyBorder="1"/>
    <xf numFmtId="173" fontId="18" fillId="3" borderId="46" xfId="0" applyNumberFormat="1" applyFont="1" applyFill="1" applyBorder="1"/>
    <xf numFmtId="0" fontId="19" fillId="11" borderId="50" xfId="0" applyFont="1" applyFill="1" applyBorder="1" applyAlignment="1">
      <alignment horizontal="center"/>
    </xf>
    <xf numFmtId="0" fontId="19" fillId="11" borderId="51" xfId="0" applyFont="1" applyFill="1" applyBorder="1" applyAlignment="1">
      <alignment horizontal="center"/>
    </xf>
    <xf numFmtId="0" fontId="19" fillId="11" borderId="52" xfId="0" applyFont="1" applyFill="1" applyBorder="1" applyAlignment="1">
      <alignment horizontal="center"/>
    </xf>
    <xf numFmtId="0" fontId="0" fillId="8" borderId="53" xfId="0" applyFill="1" applyBorder="1"/>
    <xf numFmtId="0" fontId="1" fillId="8" borderId="54" xfId="0" applyFont="1" applyFill="1" applyBorder="1"/>
    <xf numFmtId="0" fontId="0" fillId="8" borderId="55" xfId="0" applyFill="1" applyBorder="1"/>
    <xf numFmtId="0" fontId="0" fillId="8" borderId="56" xfId="0" applyFill="1" applyBorder="1"/>
    <xf numFmtId="0" fontId="1" fillId="8" borderId="56" xfId="0" applyFont="1" applyFill="1" applyBorder="1"/>
    <xf numFmtId="0" fontId="1" fillId="8" borderId="21" xfId="0" applyFont="1" applyFill="1" applyBorder="1"/>
    <xf numFmtId="16" fontId="0" fillId="0" borderId="0" xfId="0" applyNumberFormat="1"/>
    <xf numFmtId="172" fontId="0" fillId="0" borderId="0" xfId="0" applyNumberFormat="1" applyAlignment="1">
      <alignment horizontal="center"/>
    </xf>
    <xf numFmtId="0" fontId="20" fillId="0" borderId="0" xfId="0" applyFont="1"/>
    <xf numFmtId="0" fontId="21" fillId="0" borderId="15" xfId="0" applyFont="1" applyBorder="1" applyAlignment="1">
      <alignment horizontal="left"/>
    </xf>
    <xf numFmtId="0" fontId="22" fillId="0" borderId="15" xfId="0" applyFont="1" applyBorder="1" applyAlignment="1">
      <alignment horizontal="left"/>
    </xf>
    <xf numFmtId="173" fontId="23" fillId="0" borderId="15" xfId="0" applyNumberFormat="1" applyFont="1" applyBorder="1" applyAlignment="1">
      <alignment horizontal="center"/>
    </xf>
    <xf numFmtId="0" fontId="24" fillId="10" borderId="15" xfId="0" applyFont="1" applyFill="1" applyBorder="1" applyAlignment="1">
      <alignment horizontal="left"/>
    </xf>
    <xf numFmtId="173" fontId="23" fillId="10" borderId="1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8.xml"/><Relationship Id="rId5" Type="http://schemas.openxmlformats.org/officeDocument/2006/relationships/worksheet" Target="worksheets/sheet37.xml"/><Relationship Id="rId6" Type="http://schemas.openxmlformats.org/officeDocument/2006/relationships/worksheet" Target="worksheets/sheet42.xml"/><Relationship Id="rId7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50093</xdr:colOff>
      <xdr:row>1</xdr:row>
      <xdr:rowOff>46567</xdr:rowOff>
    </xdr:from>
    <xdr:to>
      <xdr:col>12</xdr:col>
      <xdr:colOff>130897</xdr:colOff>
      <xdr:row>3</xdr:row>
      <xdr:rowOff>2566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483577</xdr:colOff>
      <xdr:row>0</xdr:row>
      <xdr:rowOff>161192</xdr:rowOff>
    </xdr:from>
    <xdr:to>
      <xdr:col>19</xdr:col>
      <xdr:colOff>269173</xdr:colOff>
      <xdr:row>3</xdr:row>
      <xdr:rowOff>47696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6"/>
  <sheetViews>
    <sheetView workbookViewId="0" zoomScale="100" zoomScaleNormal="100"/>
  </sheetViews>
  <sheetFormatPr defaultRowHeight="15" outlineLevelRow="0" outlineLevelCol="0" x14ac:dyDescent="0" defaultColWidth="9.1640625"/>
  <cols>
    <col min="2" max="2" width="25.5" customWidth="1"/>
    <col min="3" max="3" width="24.1640625" customWidth="1"/>
  </cols>
  <sheetData>
    <row r="2" spans="2:2" x14ac:dyDescent="0.25">
      <c r="B2" s="173" t="s">
        <v>133</v>
      </c>
    </row>
    <row r="3" ht="9" customHeight="1" x14ac:dyDescent="0.25"/>
    <row r="4" spans="2:2" x14ac:dyDescent="0.25">
      <c r="B4" s="173" t="s">
        <v>134</v>
      </c>
    </row>
    <row r="5" spans="2:3" x14ac:dyDescent="0.25">
      <c r="B5" s="174" t="s">
        <v>135</v>
      </c>
      <c r="C5" s="174" t="s">
        <v>136</v>
      </c>
    </row>
    <row r="6" spans="2:3" x14ac:dyDescent="0.25">
      <c r="B6" s="175" t="s">
        <v>137</v>
      </c>
      <c r="C6" s="176">
        <f>C12</f>
        <v>0.1753272955862613</v>
      </c>
    </row>
    <row r="7" spans="2:3" x14ac:dyDescent="0.25">
      <c r="B7" s="175" t="s">
        <v>138</v>
      </c>
      <c r="C7" s="176">
        <v>0.07889725375480318</v>
      </c>
    </row>
    <row r="8" spans="2:3" x14ac:dyDescent="0.25">
      <c r="B8" s="175" t="s">
        <v>139</v>
      </c>
      <c r="C8" s="176">
        <v>0.09836174100807901</v>
      </c>
    </row>
    <row r="9" spans="2:3" x14ac:dyDescent="0.25">
      <c r="B9" s="175" t="s">
        <v>140</v>
      </c>
      <c r="C9" s="176">
        <v>0.09843635166399135</v>
      </c>
    </row>
    <row r="10" spans="2:3" x14ac:dyDescent="0.25">
      <c r="B10" s="177" t="s">
        <v>141</v>
      </c>
      <c r="C10" s="178">
        <f>C12</f>
        <v>0.1753272955862613</v>
      </c>
    </row>
    <row r="11" spans="2:3" x14ac:dyDescent="0.25">
      <c r="B11" s="175" t="s">
        <v>142</v>
      </c>
      <c r="C11" s="176">
        <v>0.13434922497449533</v>
      </c>
    </row>
    <row r="12" spans="2:3" x14ac:dyDescent="0.25">
      <c r="B12" s="175" t="s">
        <v>143</v>
      </c>
      <c r="C12" s="176">
        <v>0.1753272955862613</v>
      </c>
    </row>
    <row r="13" spans="2:3" x14ac:dyDescent="0.25">
      <c r="B13" s="175" t="s">
        <v>144</v>
      </c>
      <c r="C13" s="176">
        <v>0.11344609890003911</v>
      </c>
    </row>
    <row r="14" spans="2:3" x14ac:dyDescent="0.25">
      <c r="B14" s="175" t="s">
        <v>145</v>
      </c>
      <c r="C14" s="176">
        <v>0.08219978825801258</v>
      </c>
    </row>
    <row r="15" spans="2:3" x14ac:dyDescent="0.25">
      <c r="B15" s="175" t="s">
        <v>146</v>
      </c>
      <c r="C15" s="176">
        <v>0.07387647254840086</v>
      </c>
    </row>
    <row r="16" spans="2:3" x14ac:dyDescent="0.25">
      <c r="B16" s="175" t="s">
        <v>147</v>
      </c>
      <c r="C16" s="176">
        <v>0.08601988152511292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workbookViewId="0" showGridLines="0" zoomScale="71" zoomScaleNormal="94">
      <selection activeCell="J29" sqref="J29"/>
    </sheetView>
  </sheetViews>
  <sheetFormatPr defaultRowHeight="15" outlineLevelRow="0" outlineLevelCol="1" x14ac:dyDescent="0"/>
  <cols>
    <col min="1" max="1" width="9.83203125" customWidth="1"/>
    <col min="2" max="2" width="4.33203125" customWidth="1"/>
    <col min="3" max="3" width="30.6640625" customWidth="1"/>
    <col min="4" max="4" width="15.83203125" customWidth="1"/>
    <col min="5" max="9" width="11.5" customWidth="1"/>
    <col min="10" max="10" width="12.33203125" customWidth="1"/>
    <col min="11" max="11" width="11" outlineLevel="1" collapsed="1" customWidth="1"/>
    <col min="12" max="12" width="23.1640625" customWidth="1"/>
    <col min="13" max="13" width="13.5" customWidth="1"/>
    <col min="14" max="15" width="15" customWidth="1"/>
    <col min="16" max="16" width="15.1640625" customWidth="1"/>
    <col min="17" max="17" width="15" customWidth="1"/>
    <col min="18" max="18" width="15.83203125" customWidth="1"/>
    <col min="19" max="20" width="11.5" customWidth="1"/>
    <col min="21" max="16384" width="11.5" hidden="1" customWidth="1"/>
  </cols>
  <sheetData>
    <row r="1" ht="20.25" customHeight="1" spans="1:20" x14ac:dyDescent="0.2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</row>
    <row r="2" ht="20.25" customHeight="1" spans="1:2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ht="20.25" customHeight="1" spans="1:20" x14ac:dyDescent="0.2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2"/>
      <c r="N3" s="61"/>
      <c r="O3" s="61"/>
      <c r="P3" s="61"/>
      <c r="Q3" s="61"/>
      <c r="R3" s="61"/>
      <c r="S3" s="61"/>
      <c r="T3" s="61"/>
    </row>
    <row r="4" ht="20.25" customHeight="1" spans="1:20" x14ac:dyDescent="0.2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</row>
    <row r="5" ht="20.25" customHeight="1" spans="1:20" x14ac:dyDescent="0.25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</row>
    <row r="6" ht="15" customHeight="1" spans="1:20" x14ac:dyDescent="0.25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</row>
    <row r="7" ht="18.75" customHeight="1" spans="1:20" x14ac:dyDescent="0.25">
      <c r="A7" s="63"/>
      <c r="B7" s="64"/>
      <c r="C7" s="65" t="s">
        <v>78</v>
      </c>
      <c r="D7" s="66">
        <v>0</v>
      </c>
      <c r="E7" s="67">
        <v>1</v>
      </c>
      <c r="F7" s="67">
        <v>2</v>
      </c>
      <c r="G7" s="67">
        <v>3</v>
      </c>
      <c r="H7" s="67">
        <v>4</v>
      </c>
      <c r="I7" s="68">
        <v>5</v>
      </c>
      <c r="J7" s="63"/>
      <c r="K7" s="63"/>
      <c r="L7" s="69" t="s">
        <v>79</v>
      </c>
      <c r="M7" s="70"/>
      <c r="N7" s="70"/>
      <c r="O7" s="70"/>
      <c r="P7" s="70"/>
      <c r="Q7" s="70"/>
      <c r="R7" s="71"/>
      <c r="S7" s="64"/>
      <c r="T7" s="64"/>
    </row>
    <row r="8" spans="1:20" x14ac:dyDescent="0.25">
      <c r="A8" s="63"/>
      <c r="B8" s="64"/>
      <c r="C8" s="72"/>
      <c r="D8" s="73">
        <v>2025</v>
      </c>
      <c r="E8" s="74">
        <v>2026</v>
      </c>
      <c r="F8" s="74">
        <v>2027</v>
      </c>
      <c r="G8" s="74">
        <v>2028</v>
      </c>
      <c r="H8" s="74">
        <v>2029</v>
      </c>
      <c r="I8" s="75">
        <v>2030</v>
      </c>
      <c r="J8" s="63"/>
      <c r="K8" s="63"/>
      <c r="L8" s="76" t="s">
        <v>78</v>
      </c>
      <c r="M8" s="77">
        <v>2025</v>
      </c>
      <c r="N8" s="77">
        <v>2026</v>
      </c>
      <c r="O8" s="77">
        <v>2027</v>
      </c>
      <c r="P8" s="77">
        <v>2028</v>
      </c>
      <c r="Q8" s="77">
        <v>2029</v>
      </c>
      <c r="R8" s="78">
        <v>2030</v>
      </c>
      <c r="S8" s="64"/>
      <c r="T8" s="64"/>
    </row>
    <row r="9" ht="16" customHeight="1" spans="1:20" x14ac:dyDescent="0.25">
      <c r="A9" s="63"/>
      <c r="B9" s="64"/>
      <c r="C9" s="79" t="s">
        <v>80</v>
      </c>
      <c r="D9" s="80"/>
      <c r="E9" s="81">
        <f>N10</f>
        <v>60</v>
      </c>
      <c r="F9" s="81">
        <f>O10</f>
        <v>80</v>
      </c>
      <c r="G9" s="81">
        <f>P10</f>
        <v>90</v>
      </c>
      <c r="H9" s="81">
        <f>Q10</f>
        <v>95</v>
      </c>
      <c r="I9" s="82">
        <f>R10</f>
        <v>99.75</v>
      </c>
      <c r="J9" s="83" t="s">
        <v>81</v>
      </c>
      <c r="K9" s="63"/>
      <c r="L9" s="84" t="s">
        <v>82</v>
      </c>
      <c r="M9" s="85">
        <v>0</v>
      </c>
      <c r="N9" s="85">
        <f>+(N10*1000000*Datos!B21)</f>
        <v>180000000</v>
      </c>
      <c r="O9" s="85">
        <f>+(O10*1000000*12)</f>
        <v>960000000</v>
      </c>
      <c r="P9" s="85">
        <f t="shared" ref="P9:Q9" si="0">+(P10*1000000*12)</f>
        <v>1080000000</v>
      </c>
      <c r="Q9" s="85">
        <f t="shared" si="0"/>
        <v>1140000000</v>
      </c>
      <c r="R9" s="85">
        <f t="shared" ref="R9" si="1">+Q9*1.05</f>
        <v>1197000000</v>
      </c>
      <c r="S9" s="86" t="s">
        <v>81</v>
      </c>
      <c r="T9" s="64"/>
    </row>
    <row r="10" ht="16" customHeight="1" spans="1:20" x14ac:dyDescent="0.25">
      <c r="A10" s="63"/>
      <c r="B10" s="64"/>
      <c r="C10" s="79" t="s">
        <v>79</v>
      </c>
      <c r="D10" s="80"/>
      <c r="E10" s="87">
        <f>N9/1000000</f>
        <v>180</v>
      </c>
      <c r="F10" s="81">
        <f t="shared" ref="F10:I10" si="2">O9/1000000</f>
        <v>960</v>
      </c>
      <c r="G10" s="81">
        <f t="shared" si="2"/>
        <v>1080</v>
      </c>
      <c r="H10" s="81">
        <f t="shared" si="2"/>
        <v>1140</v>
      </c>
      <c r="I10" s="82">
        <f t="shared" si="2"/>
        <v>1197</v>
      </c>
      <c r="J10" s="63"/>
      <c r="K10" s="63"/>
      <c r="L10" s="88" t="s">
        <v>83</v>
      </c>
      <c r="M10" s="88"/>
      <c r="N10" s="89">
        <v>60</v>
      </c>
      <c r="O10" s="89">
        <v>80</v>
      </c>
      <c r="P10" s="89">
        <v>90</v>
      </c>
      <c r="Q10" s="89">
        <v>95</v>
      </c>
      <c r="R10" s="89">
        <f>Q10*1.05</f>
        <v>99.75</v>
      </c>
      <c r="S10" s="86" t="s">
        <v>81</v>
      </c>
      <c r="T10" s="64"/>
    </row>
    <row r="11" ht="16" customHeight="1" spans="1:20" x14ac:dyDescent="0.25">
      <c r="A11" s="63"/>
      <c r="B11" s="64"/>
      <c r="C11" s="79" t="s">
        <v>84</v>
      </c>
      <c r="D11" s="80"/>
      <c r="E11" s="87">
        <f t="shared" ref="E11:I11" si="3">N13/1000000</f>
        <v>-84.6</v>
      </c>
      <c r="F11" s="87">
        <f t="shared" si="3"/>
        <v>-451.2</v>
      </c>
      <c r="G11" s="87">
        <f t="shared" si="3"/>
        <v>-507.6</v>
      </c>
      <c r="H11" s="87">
        <f t="shared" si="3"/>
        <v>-535.8</v>
      </c>
      <c r="I11" s="90">
        <f t="shared" si="3"/>
        <v>-562.59</v>
      </c>
      <c r="J11" s="63"/>
      <c r="K11" s="63"/>
      <c r="L11" s="69" t="s">
        <v>85</v>
      </c>
      <c r="M11" s="70"/>
      <c r="N11" s="70"/>
      <c r="O11" s="70"/>
      <c r="P11" s="70"/>
      <c r="Q11" s="70"/>
      <c r="R11" s="71"/>
      <c r="S11" s="64"/>
      <c r="T11" s="64"/>
    </row>
    <row r="12" spans="1:20" x14ac:dyDescent="0.25">
      <c r="A12" s="63"/>
      <c r="B12" s="64"/>
      <c r="C12" s="91" t="s">
        <v>86</v>
      </c>
      <c r="D12" s="92"/>
      <c r="E12" s="93">
        <f t="shared" ref="E12:I12" si="4">+IFERROR(((E10+E11)/E10),0)</f>
        <v>0.53</v>
      </c>
      <c r="F12" s="93">
        <f t="shared" si="4"/>
        <v>0.53</v>
      </c>
      <c r="G12" s="93">
        <f t="shared" si="4"/>
        <v>0.53</v>
      </c>
      <c r="H12" s="93">
        <f t="shared" si="4"/>
        <v>0.53</v>
      </c>
      <c r="I12" s="94">
        <f t="shared" si="4"/>
        <v>0.53</v>
      </c>
      <c r="J12" s="63"/>
      <c r="K12" s="63"/>
      <c r="L12" s="95" t="s">
        <v>78</v>
      </c>
      <c r="M12" s="96">
        <v>2025</v>
      </c>
      <c r="N12" s="96">
        <v>2026</v>
      </c>
      <c r="O12" s="96">
        <v>2027</v>
      </c>
      <c r="P12" s="96">
        <v>2028</v>
      </c>
      <c r="Q12" s="96">
        <v>2029</v>
      </c>
      <c r="R12" s="97">
        <v>2030</v>
      </c>
      <c r="S12" s="64"/>
      <c r="T12" s="64"/>
    </row>
    <row r="13" spans="1:20" x14ac:dyDescent="0.25">
      <c r="A13" s="63"/>
      <c r="B13" s="64"/>
      <c r="C13" s="98" t="s">
        <v>87</v>
      </c>
      <c r="D13" s="80"/>
      <c r="E13" s="87">
        <f t="shared" ref="E13:I14" si="5">+E$10*N15</f>
        <v>-0.54</v>
      </c>
      <c r="F13" s="87">
        <f t="shared" si="5"/>
        <v>-2.88</v>
      </c>
      <c r="G13" s="87">
        <f t="shared" si="5"/>
        <v>-3.24</v>
      </c>
      <c r="H13" s="87">
        <f t="shared" si="5"/>
        <v>-3.42</v>
      </c>
      <c r="I13" s="90">
        <f t="shared" si="5"/>
        <v>-3.591</v>
      </c>
      <c r="J13" s="63"/>
      <c r="K13" s="63"/>
      <c r="L13" s="99" t="s">
        <v>88</v>
      </c>
      <c r="M13" s="100">
        <f>(+M9*M14)-M9</f>
        <v>0</v>
      </c>
      <c r="N13" s="100">
        <f>(+N9*N14)-N9</f>
        <v>-84600000</v>
      </c>
      <c r="O13" s="100">
        <f t="shared" ref="O13:R13" si="6">(+O9*O14)-O9</f>
        <v>-451200000</v>
      </c>
      <c r="P13" s="100">
        <f t="shared" si="6"/>
        <v>-507600000</v>
      </c>
      <c r="Q13" s="100">
        <f t="shared" si="6"/>
        <v>-535800000</v>
      </c>
      <c r="R13" s="100">
        <f t="shared" si="6"/>
        <v>-562590000</v>
      </c>
      <c r="S13" s="64"/>
      <c r="T13" s="64"/>
    </row>
    <row r="14" spans="1:20" x14ac:dyDescent="0.25">
      <c r="A14" s="63"/>
      <c r="B14" s="64"/>
      <c r="C14" s="98" t="s">
        <v>89</v>
      </c>
      <c r="D14" s="80"/>
      <c r="E14" s="87">
        <f t="shared" si="5"/>
        <v>-9</v>
      </c>
      <c r="F14" s="87">
        <f t="shared" si="5"/>
        <v>-48</v>
      </c>
      <c r="G14" s="87">
        <f t="shared" si="5"/>
        <v>-54</v>
      </c>
      <c r="H14" s="87">
        <f t="shared" si="5"/>
        <v>-57</v>
      </c>
      <c r="I14" s="90">
        <f t="shared" si="5"/>
        <v>-59.85</v>
      </c>
      <c r="J14" s="63"/>
      <c r="K14" s="63"/>
      <c r="L14" s="101" t="s">
        <v>90</v>
      </c>
      <c r="M14" s="102"/>
      <c r="N14" s="103">
        <v>0.53</v>
      </c>
      <c r="O14" s="103">
        <f>N14</f>
        <v>0.53</v>
      </c>
      <c r="P14" s="103">
        <f>O14</f>
        <v>0.53</v>
      </c>
      <c r="Q14" s="103">
        <f t="shared" ref="Q14:R14" si="7">P14</f>
        <v>0.53</v>
      </c>
      <c r="R14" s="103">
        <f t="shared" si="7"/>
        <v>0.53</v>
      </c>
      <c r="S14" s="64"/>
      <c r="T14" s="64"/>
    </row>
    <row r="15" spans="1:20" x14ac:dyDescent="0.25">
      <c r="A15" s="63"/>
      <c r="B15" s="64"/>
      <c r="C15" s="104" t="s">
        <v>91</v>
      </c>
      <c r="D15" s="105"/>
      <c r="E15" s="106">
        <f>+E10+E11+E13+E14</f>
        <v>85.86</v>
      </c>
      <c r="F15" s="106">
        <f t="shared" ref="F15:I15" si="8">+F10+F11+F13+F14</f>
        <v>457.92</v>
      </c>
      <c r="G15" s="106">
        <f t="shared" si="8"/>
        <v>515.16</v>
      </c>
      <c r="H15" s="106">
        <f t="shared" si="8"/>
        <v>543.7800000000001</v>
      </c>
      <c r="I15" s="107">
        <f t="shared" si="8"/>
        <v>570.9689999999999</v>
      </c>
      <c r="J15" s="63"/>
      <c r="K15" s="63"/>
      <c r="L15" s="101" t="s">
        <v>87</v>
      </c>
      <c r="M15" s="100">
        <f>+M9*-7%</f>
        <v>0</v>
      </c>
      <c r="N15" s="108">
        <v>-0.003</v>
      </c>
      <c r="O15" s="108">
        <f>N15</f>
        <v>-0.003</v>
      </c>
      <c r="P15" s="108">
        <f t="shared" ref="P15:R15" si="9">O15</f>
        <v>-0.003</v>
      </c>
      <c r="Q15" s="108">
        <f t="shared" si="9"/>
        <v>-0.003</v>
      </c>
      <c r="R15" s="108">
        <f t="shared" si="9"/>
        <v>-0.003</v>
      </c>
      <c r="S15" s="64"/>
      <c r="T15" s="64"/>
    </row>
    <row r="16" ht="16" customHeight="1" spans="1:20" x14ac:dyDescent="0.25">
      <c r="A16" s="109" t="s">
        <v>92</v>
      </c>
      <c r="B16" s="64"/>
      <c r="C16" s="98" t="s">
        <v>93</v>
      </c>
      <c r="D16" s="110"/>
      <c r="E16" s="111">
        <f t="shared" ref="E16:I16" si="10">+IFERROR((E15/E10),0)</f>
        <v>0.477</v>
      </c>
      <c r="F16" s="111">
        <f t="shared" si="10"/>
        <v>0.47700000000000004</v>
      </c>
      <c r="G16" s="111">
        <f t="shared" si="10"/>
        <v>0.477</v>
      </c>
      <c r="H16" s="111">
        <f t="shared" si="10"/>
        <v>0.4770000000000001</v>
      </c>
      <c r="I16" s="112">
        <f t="shared" si="10"/>
        <v>0.4769999999999999</v>
      </c>
      <c r="J16" s="63"/>
      <c r="K16" s="63"/>
      <c r="L16" s="84" t="s">
        <v>94</v>
      </c>
      <c r="M16" s="85">
        <f>+M9*-20%</f>
        <v>0</v>
      </c>
      <c r="N16" s="113">
        <v>-0.05</v>
      </c>
      <c r="O16" s="113">
        <v>-0.05</v>
      </c>
      <c r="P16" s="113">
        <v>-0.05</v>
      </c>
      <c r="Q16" s="113">
        <v>-0.05</v>
      </c>
      <c r="R16" s="113">
        <v>-0.05</v>
      </c>
      <c r="S16" s="64"/>
      <c r="T16" s="64"/>
    </row>
    <row r="17" ht="16" customHeight="1" spans="1:20" x14ac:dyDescent="0.25">
      <c r="A17" s="109">
        <f>Datos!B21+1</f>
        <v>4</v>
      </c>
      <c r="B17" s="114">
        <v>6.5</v>
      </c>
      <c r="C17" s="98" t="s">
        <v>95</v>
      </c>
      <c r="D17" s="80"/>
      <c r="E17" s="115">
        <f>-B17*(A17)</f>
        <v>-26</v>
      </c>
      <c r="F17" s="87">
        <f>(-B17*12)*1.032</f>
        <v>-80.49600000000001</v>
      </c>
      <c r="G17" s="87">
        <f t="shared" ref="G17:I17" si="11">+F17*1.032</f>
        <v>-83.07187200000001</v>
      </c>
      <c r="H17" s="87">
        <f t="shared" si="11"/>
        <v>-85.73017190400002</v>
      </c>
      <c r="I17" s="90">
        <f t="shared" si="11"/>
        <v>-88.47353740492802</v>
      </c>
      <c r="J17" s="83" t="s">
        <v>81</v>
      </c>
      <c r="K17" s="63"/>
      <c r="L17" s="64"/>
      <c r="M17" s="64"/>
      <c r="N17" s="64"/>
      <c r="O17" s="64"/>
      <c r="P17" s="64"/>
      <c r="Q17" s="64"/>
      <c r="R17" s="64"/>
      <c r="S17" s="64"/>
      <c r="T17" s="64"/>
    </row>
    <row r="18" ht="16" customHeight="1" spans="1:20" x14ac:dyDescent="0.25">
      <c r="A18" s="63"/>
      <c r="B18" s="64"/>
      <c r="C18" s="79" t="s">
        <v>96</v>
      </c>
      <c r="D18" s="80"/>
      <c r="E18" s="87">
        <v>0</v>
      </c>
      <c r="F18" s="87">
        <f t="shared" ref="F18:I18" si="12">+E18*1.032</f>
        <v>0</v>
      </c>
      <c r="G18" s="87">
        <f t="shared" si="12"/>
        <v>0</v>
      </c>
      <c r="H18" s="87">
        <f t="shared" si="12"/>
        <v>0</v>
      </c>
      <c r="I18" s="90">
        <f t="shared" si="12"/>
        <v>0</v>
      </c>
      <c r="J18" s="63"/>
      <c r="K18" s="63"/>
      <c r="L18" s="69" t="s">
        <v>97</v>
      </c>
      <c r="M18" s="70"/>
      <c r="N18" s="70"/>
      <c r="O18" s="70"/>
      <c r="P18" s="70"/>
      <c r="Q18" s="70"/>
      <c r="R18" s="71"/>
      <c r="S18" s="64"/>
      <c r="T18" s="64"/>
    </row>
    <row r="19" spans="1:20" x14ac:dyDescent="0.25">
      <c r="A19" s="63"/>
      <c r="B19" s="64"/>
      <c r="C19" s="79" t="s">
        <v>98</v>
      </c>
      <c r="D19" s="80"/>
      <c r="E19" s="87">
        <f>-0.8*(MONTH(Datos!B21))</f>
        <v>-0.8</v>
      </c>
      <c r="F19" s="87">
        <f>-0.8*12*1.032</f>
        <v>-9.907200000000001</v>
      </c>
      <c r="G19" s="87">
        <f t="shared" ref="G19:I19" si="13">+F19*1.032</f>
        <v>-10.224230400000001</v>
      </c>
      <c r="H19" s="87">
        <f t="shared" si="13"/>
        <v>-10.551405772800003</v>
      </c>
      <c r="I19" s="90">
        <f t="shared" si="13"/>
        <v>-10.889050757529603</v>
      </c>
      <c r="J19" s="63"/>
      <c r="K19" s="63"/>
      <c r="L19" s="95" t="s">
        <v>78</v>
      </c>
      <c r="M19" s="96">
        <v>2025</v>
      </c>
      <c r="N19" s="96">
        <v>2026</v>
      </c>
      <c r="O19" s="96">
        <v>2027</v>
      </c>
      <c r="P19" s="96">
        <v>2028</v>
      </c>
      <c r="Q19" s="96">
        <v>2029</v>
      </c>
      <c r="R19" s="97">
        <v>2030</v>
      </c>
      <c r="S19" s="64"/>
      <c r="T19" s="64"/>
    </row>
    <row r="20" spans="1:20" x14ac:dyDescent="0.25">
      <c r="A20" s="63"/>
      <c r="B20" s="64"/>
      <c r="C20" s="79" t="s">
        <v>99</v>
      </c>
      <c r="D20" s="80"/>
      <c r="E20" s="87">
        <f>+E$10*N30</f>
        <v>-3.2399999999999998</v>
      </c>
      <c r="F20" s="87">
        <f t="shared" ref="E20:I21" si="14">+F$10*O30</f>
        <v>-17.279999999999998</v>
      </c>
      <c r="G20" s="87">
        <f t="shared" si="14"/>
        <v>-19.439999999999998</v>
      </c>
      <c r="H20" s="87">
        <f t="shared" si="14"/>
        <v>-20.52</v>
      </c>
      <c r="I20" s="90">
        <f t="shared" si="14"/>
        <v>-21.546</v>
      </c>
      <c r="J20" s="63"/>
      <c r="K20" s="63"/>
      <c r="L20" s="101" t="s">
        <v>100</v>
      </c>
      <c r="M20" s="100">
        <f>+M13</f>
        <v>0</v>
      </c>
      <c r="N20" s="100">
        <v>0</v>
      </c>
      <c r="O20" s="100">
        <v>0</v>
      </c>
      <c r="P20" s="100">
        <v>0</v>
      </c>
      <c r="Q20" s="100">
        <v>0</v>
      </c>
      <c r="R20" s="116">
        <v>0</v>
      </c>
      <c r="S20" s="64"/>
      <c r="T20" s="64"/>
    </row>
    <row r="21" spans="1:20" x14ac:dyDescent="0.25">
      <c r="A21" s="63"/>
      <c r="B21" s="64"/>
      <c r="C21" s="79" t="s">
        <v>101</v>
      </c>
      <c r="D21" s="80"/>
      <c r="E21" s="87">
        <f t="shared" si="14"/>
        <v>-2.3040000000000003</v>
      </c>
      <c r="F21" s="87">
        <f t="shared" si="14"/>
        <v>-12.288</v>
      </c>
      <c r="G21" s="87">
        <f t="shared" si="14"/>
        <v>-13.824</v>
      </c>
      <c r="H21" s="87">
        <f t="shared" si="14"/>
        <v>-14.592</v>
      </c>
      <c r="I21" s="90">
        <f t="shared" si="14"/>
        <v>-15.3216</v>
      </c>
      <c r="J21" s="63"/>
      <c r="K21" s="63"/>
      <c r="L21" s="101" t="s">
        <v>102</v>
      </c>
      <c r="M21" s="1"/>
      <c r="N21" s="1">
        <v>0</v>
      </c>
      <c r="O21" s="1">
        <v>0</v>
      </c>
      <c r="P21" s="1">
        <v>0</v>
      </c>
      <c r="Q21" s="1">
        <v>0</v>
      </c>
      <c r="R21" s="117">
        <v>0</v>
      </c>
      <c r="S21" s="64"/>
      <c r="T21" s="64"/>
    </row>
    <row r="22" spans="1:20" x14ac:dyDescent="0.25">
      <c r="A22" s="63"/>
      <c r="B22" s="64"/>
      <c r="C22" s="79" t="s">
        <v>103</v>
      </c>
      <c r="D22" s="80"/>
      <c r="E22" s="87">
        <f>-((Datos!$E$17*Supuestos!C3)/1000000)*Datos!B21</f>
        <v>-22.96584118125</v>
      </c>
      <c r="F22" s="87">
        <f>-((Datos!$E$17*Supuestos!D$3)*12)/1000000</f>
        <v>-94.98671912565</v>
      </c>
      <c r="G22" s="87">
        <f>-(((Datos!$E$17+1.05)*Supuestos!E$3)*12)/1000000</f>
        <v>-98.76627867434728</v>
      </c>
      <c r="H22" s="87">
        <f>-(((Datos!$E$17+1.05)*Supuestos!F$3)*12)/1000000</f>
        <v>-102.12433214927509</v>
      </c>
      <c r="I22" s="90">
        <f>-(((Datos!$E$17+1.1)*Supuestos!G$3)*12)/1000000</f>
        <v>-105.62456171215747</v>
      </c>
      <c r="J22" s="83" t="s">
        <v>81</v>
      </c>
      <c r="K22" s="63"/>
      <c r="L22" s="101" t="s">
        <v>104</v>
      </c>
      <c r="M22" s="1"/>
      <c r="N22" s="118">
        <v>100000000</v>
      </c>
      <c r="O22" s="118">
        <f>N22</f>
        <v>100000000</v>
      </c>
      <c r="P22" s="118">
        <f>O22</f>
        <v>100000000</v>
      </c>
      <c r="Q22" s="118">
        <f>P22</f>
        <v>100000000</v>
      </c>
      <c r="R22" s="119">
        <f>Q22</f>
        <v>100000000</v>
      </c>
      <c r="S22" s="64"/>
      <c r="T22" s="64"/>
    </row>
    <row r="23" ht="16" customHeight="1" spans="1:20" x14ac:dyDescent="0.25">
      <c r="A23" s="63"/>
      <c r="B23" s="64"/>
      <c r="C23" s="79" t="s">
        <v>23</v>
      </c>
      <c r="D23" s="80"/>
      <c r="E23" s="87">
        <f>-((Datos!$E$18*Supuestos!C$3)*$A$17)/1000000</f>
        <v>0</v>
      </c>
      <c r="F23" s="87">
        <f>-((Datos!$E$18*Supuestos!D$3)*12)/1000000</f>
        <v>0</v>
      </c>
      <c r="G23" s="87">
        <f>-((Datos!$E$18*Supuestos!E$3)*12)/1000000</f>
        <v>0</v>
      </c>
      <c r="H23" s="87">
        <f>-((Datos!$E$18*Supuestos!F$3)*12)/1000000</f>
        <v>0</v>
      </c>
      <c r="I23" s="90">
        <f>-((Datos!$E$18*Supuestos!G$3)*12)/1000000</f>
        <v>0</v>
      </c>
      <c r="J23" s="83" t="s">
        <v>81</v>
      </c>
      <c r="K23" s="63"/>
      <c r="L23" s="84" t="s">
        <v>105</v>
      </c>
      <c r="M23" s="85">
        <f>SUM(M20:M22)</f>
        <v>0</v>
      </c>
      <c r="N23" s="85">
        <f>SUM(N20:N22)</f>
        <v>100000000</v>
      </c>
      <c r="O23" s="85">
        <f t="shared" ref="O23:R23" si="15">SUM(O20:O22)</f>
        <v>100000000</v>
      </c>
      <c r="P23" s="85">
        <f t="shared" si="15"/>
        <v>100000000</v>
      </c>
      <c r="Q23" s="85">
        <f t="shared" si="15"/>
        <v>100000000</v>
      </c>
      <c r="R23" s="120">
        <f t="shared" si="15"/>
        <v>100000000</v>
      </c>
      <c r="S23" s="64"/>
      <c r="T23" s="64"/>
    </row>
    <row r="24" ht="16" customHeight="1" spans="1:20" x14ac:dyDescent="0.25">
      <c r="A24" s="63"/>
      <c r="B24" s="64"/>
      <c r="C24" s="104" t="s">
        <v>106</v>
      </c>
      <c r="D24" s="105"/>
      <c r="E24" s="106">
        <f>+SUM(E17:E23)</f>
        <v>-55.30984118125</v>
      </c>
      <c r="F24" s="106">
        <f t="shared" ref="F24:I24" si="16">+SUM(F17:F23)</f>
        <v>-214.95791912565</v>
      </c>
      <c r="G24" s="106">
        <f t="shared" si="16"/>
        <v>-225.3263810743473</v>
      </c>
      <c r="H24" s="106">
        <f t="shared" si="16"/>
        <v>-233.5179098260751</v>
      </c>
      <c r="I24" s="107">
        <f t="shared" si="16"/>
        <v>-241.8547498746151</v>
      </c>
      <c r="J24" s="63"/>
      <c r="K24" s="63"/>
      <c r="L24" s="64"/>
      <c r="M24" s="64"/>
      <c r="N24" s="64"/>
      <c r="O24" s="64"/>
      <c r="P24" s="64"/>
      <c r="Q24" s="64"/>
      <c r="R24" s="64"/>
      <c r="S24" s="64"/>
      <c r="T24" s="64"/>
    </row>
    <row r="25" ht="16" customHeight="1" spans="1:20" x14ac:dyDescent="0.25">
      <c r="A25" s="63"/>
      <c r="B25" s="64"/>
      <c r="C25" s="121" t="s">
        <v>107</v>
      </c>
      <c r="D25" s="122"/>
      <c r="E25" s="123">
        <f>+E15+E24</f>
        <v>30.55015881875</v>
      </c>
      <c r="F25" s="123">
        <f>+F15+F24</f>
        <v>242.96208087435002</v>
      </c>
      <c r="G25" s="123">
        <f>+G15+G24</f>
        <v>289.8336189256527</v>
      </c>
      <c r="H25" s="123">
        <f>+H15+H24</f>
        <v>310.262090173925</v>
      </c>
      <c r="I25" s="124">
        <f>+I15+I24</f>
        <v>329.11425012538484</v>
      </c>
      <c r="J25" s="63"/>
      <c r="K25" s="63"/>
      <c r="L25" s="69" t="s">
        <v>108</v>
      </c>
      <c r="M25" s="70"/>
      <c r="N25" s="70"/>
      <c r="O25" s="70"/>
      <c r="P25" s="70"/>
      <c r="Q25" s="70"/>
      <c r="R25" s="71"/>
      <c r="S25" s="64"/>
      <c r="T25" s="64"/>
    </row>
    <row r="26" spans="1:20" x14ac:dyDescent="0.25">
      <c r="A26" s="63"/>
      <c r="B26" s="64"/>
      <c r="C26" s="125" t="s">
        <v>109</v>
      </c>
      <c r="D26" s="126"/>
      <c r="E26" s="127">
        <f>E25/E10</f>
        <v>0.16972310454861111</v>
      </c>
      <c r="F26" s="127">
        <f t="shared" ref="F26:H26" si="17">F25/F10</f>
        <v>0.25308550091078125</v>
      </c>
      <c r="G26" s="127">
        <f t="shared" si="17"/>
        <v>0.2683644619681969</v>
      </c>
      <c r="H26" s="127">
        <f t="shared" si="17"/>
        <v>0.2721597282227412</v>
      </c>
      <c r="I26" s="128">
        <f>I25/I10</f>
        <v>0.27494924822505</v>
      </c>
      <c r="J26" s="83" t="s">
        <v>81</v>
      </c>
      <c r="K26" s="63"/>
      <c r="L26" s="95" t="s">
        <v>110</v>
      </c>
      <c r="M26" s="96">
        <v>2025</v>
      </c>
      <c r="N26" s="96">
        <v>2026</v>
      </c>
      <c r="O26" s="96">
        <v>2027</v>
      </c>
      <c r="P26" s="96">
        <v>2028</v>
      </c>
      <c r="Q26" s="96">
        <v>2029</v>
      </c>
      <c r="R26" s="97">
        <v>2030</v>
      </c>
      <c r="S26" s="64"/>
      <c r="T26" s="64"/>
    </row>
    <row r="27" spans="1:20" x14ac:dyDescent="0.25">
      <c r="A27" s="63"/>
      <c r="B27" s="64"/>
      <c r="C27" s="79" t="s">
        <v>111</v>
      </c>
      <c r="D27" s="80"/>
      <c r="E27" s="87">
        <f>+N35</f>
        <v>-53</v>
      </c>
      <c r="F27" s="87">
        <f>+O35</f>
        <v>-53</v>
      </c>
      <c r="G27" s="87">
        <f>+P35</f>
        <v>-53</v>
      </c>
      <c r="H27" s="87">
        <f>+Q35</f>
        <v>-53</v>
      </c>
      <c r="I27" s="90">
        <f>+R35</f>
        <v>-53</v>
      </c>
      <c r="J27" s="63"/>
      <c r="K27" s="63"/>
      <c r="L27" s="101" t="s">
        <v>95</v>
      </c>
      <c r="M27" s="129"/>
      <c r="N27" s="130">
        <f>+E17/E10</f>
        <v>-0.14444444444444443</v>
      </c>
      <c r="O27" s="130">
        <f t="shared" ref="O27:R27" si="18">+F17/F10</f>
        <v>-0.08385000000000001</v>
      </c>
      <c r="P27" s="130">
        <f t="shared" si="18"/>
        <v>-0.07691840000000001</v>
      </c>
      <c r="Q27" s="130">
        <f t="shared" si="18"/>
        <v>-0.07520190517894738</v>
      </c>
      <c r="R27" s="130">
        <f t="shared" si="18"/>
        <v>-0.073912729661594</v>
      </c>
      <c r="S27" s="64"/>
      <c r="T27" s="64"/>
    </row>
    <row r="28" spans="1:20" x14ac:dyDescent="0.25">
      <c r="A28" s="63"/>
      <c r="B28" s="64"/>
      <c r="C28" s="121" t="s">
        <v>112</v>
      </c>
      <c r="D28" s="122"/>
      <c r="E28" s="123">
        <f>+E25+E27</f>
        <v>-22.44984118125</v>
      </c>
      <c r="F28" s="123">
        <f>+F25+F27</f>
        <v>189.96208087435002</v>
      </c>
      <c r="G28" s="123">
        <f>+G25+G27</f>
        <v>236.83361892565267</v>
      </c>
      <c r="H28" s="123">
        <f>+H25+H27</f>
        <v>257.262090173925</v>
      </c>
      <c r="I28" s="124">
        <f>+I25+I27</f>
        <v>276.11425012538484</v>
      </c>
      <c r="J28" s="63"/>
      <c r="K28" s="63"/>
      <c r="L28" s="101" t="s">
        <v>96</v>
      </c>
      <c r="M28" s="130"/>
      <c r="N28" s="130">
        <f>+E18/E10</f>
        <v>0</v>
      </c>
      <c r="O28" s="130">
        <f t="shared" ref="O28:R28" si="19">+F18/F10</f>
        <v>0</v>
      </c>
      <c r="P28" s="130">
        <f t="shared" si="19"/>
        <v>0</v>
      </c>
      <c r="Q28" s="130">
        <f t="shared" si="19"/>
        <v>0</v>
      </c>
      <c r="R28" s="130">
        <f t="shared" si="19"/>
        <v>0</v>
      </c>
      <c r="S28" s="64"/>
      <c r="T28" s="64"/>
    </row>
    <row r="29" spans="1:20" x14ac:dyDescent="0.25">
      <c r="A29" s="63"/>
      <c r="B29" s="131"/>
      <c r="C29" s="79" t="s">
        <v>113</v>
      </c>
      <c r="D29" s="132"/>
      <c r="E29" s="133">
        <f>+IFERROR((E28/E$10),0)</f>
        <v>-0.12472133989583334</v>
      </c>
      <c r="F29" s="133">
        <f>+IFERROR((F28/F$10),0)</f>
        <v>0.19787716757744794</v>
      </c>
      <c r="G29" s="133">
        <f>+IFERROR((G28/G$10),0)</f>
        <v>0.21929038789412283</v>
      </c>
      <c r="H29" s="133">
        <f>+IFERROR((H28/H$10),0)</f>
        <v>0.2256685001525658</v>
      </c>
      <c r="I29" s="134">
        <f>+IFERROR((I28/I$10),0)</f>
        <v>0.23067188815821624</v>
      </c>
      <c r="J29" s="63"/>
      <c r="K29" s="63"/>
      <c r="L29" s="101" t="s">
        <v>98</v>
      </c>
      <c r="M29" s="130"/>
      <c r="N29" s="130">
        <f>+E19/E10</f>
        <v>-0.0044444444444444444</v>
      </c>
      <c r="O29" s="130">
        <f t="shared" ref="O29:R29" si="20">+F19/F10</f>
        <v>-0.010320000000000001</v>
      </c>
      <c r="P29" s="130">
        <f t="shared" si="20"/>
        <v>-0.009466880000000002</v>
      </c>
      <c r="Q29" s="130">
        <f t="shared" si="20"/>
        <v>-0.00925561909894737</v>
      </c>
      <c r="R29" s="130">
        <f t="shared" si="20"/>
        <v>-0.009096951342965415</v>
      </c>
      <c r="S29" s="64"/>
      <c r="T29" s="64"/>
    </row>
    <row r="30" spans="1:20" x14ac:dyDescent="0.25">
      <c r="A30" s="63"/>
      <c r="B30" s="135"/>
      <c r="C30" s="79" t="s">
        <v>114</v>
      </c>
      <c r="D30" s="80"/>
      <c r="E30" s="87">
        <f>+E$10*N36</f>
        <v>0</v>
      </c>
      <c r="F30" s="87">
        <f>+F$10*O36</f>
        <v>0</v>
      </c>
      <c r="G30" s="87">
        <f>+G$10*P36</f>
        <v>0</v>
      </c>
      <c r="H30" s="87">
        <f>+H$10*Q36</f>
        <v>0</v>
      </c>
      <c r="I30" s="90">
        <f>+I$10*R36</f>
        <v>0</v>
      </c>
      <c r="J30" s="63"/>
      <c r="K30" s="63"/>
      <c r="L30" s="101" t="s">
        <v>99</v>
      </c>
      <c r="M30" s="130"/>
      <c r="N30" s="130">
        <v>-0.018</v>
      </c>
      <c r="O30" s="130">
        <v>-0.018</v>
      </c>
      <c r="P30" s="130">
        <v>-0.018</v>
      </c>
      <c r="Q30" s="130">
        <v>-0.018</v>
      </c>
      <c r="R30" s="136">
        <v>-0.018</v>
      </c>
      <c r="S30" s="64"/>
      <c r="T30" s="64"/>
    </row>
    <row r="31" spans="1:20" x14ac:dyDescent="0.25">
      <c r="A31" s="63"/>
      <c r="B31" s="135"/>
      <c r="C31" s="104" t="s">
        <v>115</v>
      </c>
      <c r="D31" s="105"/>
      <c r="E31" s="106">
        <f>+E28+E30</f>
        <v>-22.44984118125</v>
      </c>
      <c r="F31" s="106">
        <f t="shared" ref="F31:I31" si="21">+F28+F30</f>
        <v>189.96208087435002</v>
      </c>
      <c r="G31" s="106">
        <f t="shared" si="21"/>
        <v>236.83361892565267</v>
      </c>
      <c r="H31" s="106">
        <f t="shared" si="21"/>
        <v>257.262090173925</v>
      </c>
      <c r="I31" s="107">
        <f t="shared" si="21"/>
        <v>276.11425012538484</v>
      </c>
      <c r="J31" s="63"/>
      <c r="K31" s="63"/>
      <c r="L31" s="101" t="str">
        <f>C21</f>
        <v>Ocupacion (sin Arrdo)</v>
      </c>
      <c r="M31" s="129"/>
      <c r="N31" s="129">
        <v>-0.0128</v>
      </c>
      <c r="O31" s="129">
        <v>-0.0128</v>
      </c>
      <c r="P31" s="129">
        <v>-0.0128</v>
      </c>
      <c r="Q31" s="129">
        <v>-0.0128</v>
      </c>
      <c r="R31" s="137">
        <v>-0.0128</v>
      </c>
      <c r="S31" s="64"/>
      <c r="T31" s="64"/>
    </row>
    <row r="32" spans="1:20" x14ac:dyDescent="0.25">
      <c r="A32" s="63"/>
      <c r="B32" s="63"/>
      <c r="C32" s="79" t="s">
        <v>116</v>
      </c>
      <c r="D32" s="132"/>
      <c r="E32" s="133">
        <f>N38</f>
        <v>0.27</v>
      </c>
      <c r="F32" s="133">
        <f>O38</f>
        <v>0.27</v>
      </c>
      <c r="G32" s="133">
        <f>P38</f>
        <v>0.27</v>
      </c>
      <c r="H32" s="133">
        <f>Q38</f>
        <v>0.27</v>
      </c>
      <c r="I32" s="134">
        <f>R38</f>
        <v>0.27</v>
      </c>
      <c r="J32" s="63"/>
      <c r="K32" s="63"/>
      <c r="L32" s="63"/>
      <c r="M32" s="63"/>
      <c r="N32" s="63"/>
      <c r="O32" s="63"/>
      <c r="P32" s="63"/>
      <c r="Q32" s="63"/>
      <c r="R32" s="63"/>
      <c r="S32" s="64"/>
      <c r="T32" s="64"/>
    </row>
    <row r="33" ht="16" customHeight="1" spans="1:20" x14ac:dyDescent="0.25">
      <c r="A33" s="63"/>
      <c r="B33" s="63"/>
      <c r="C33" s="79" t="s">
        <v>117</v>
      </c>
      <c r="D33" s="80"/>
      <c r="E33" s="87">
        <f>E31*-E32</f>
        <v>6.061457118937501</v>
      </c>
      <c r="F33" s="87">
        <f>F31*-F32</f>
        <v>-51.28976183607451</v>
      </c>
      <c r="G33" s="87">
        <f>G31*-G32</f>
        <v>-63.945077109926224</v>
      </c>
      <c r="H33" s="87">
        <f>H31*-H32</f>
        <v>-69.46076434695975</v>
      </c>
      <c r="I33" s="90">
        <f>I31*-I32</f>
        <v>-74.55084753385391</v>
      </c>
      <c r="J33" s="63"/>
      <c r="K33" s="63"/>
      <c r="L33" s="138" t="s">
        <v>118</v>
      </c>
      <c r="M33" s="138"/>
      <c r="N33" s="138"/>
      <c r="O33" s="138"/>
      <c r="P33" s="138"/>
      <c r="Q33" s="138"/>
      <c r="R33" s="138"/>
      <c r="S33" s="64"/>
      <c r="T33" s="64"/>
    </row>
    <row r="34" spans="1:20" x14ac:dyDescent="0.25">
      <c r="A34" s="63"/>
      <c r="B34" s="63"/>
      <c r="C34" s="104" t="s">
        <v>119</v>
      </c>
      <c r="D34" s="105"/>
      <c r="E34" s="106">
        <f>+E31+E33</f>
        <v>-16.3883840623125</v>
      </c>
      <c r="F34" s="106">
        <f t="shared" ref="F34:I34" si="22">+F31+F33</f>
        <v>138.6723190382755</v>
      </c>
      <c r="G34" s="106">
        <f t="shared" si="22"/>
        <v>172.88854181572646</v>
      </c>
      <c r="H34" s="106">
        <f t="shared" si="22"/>
        <v>187.80132582696524</v>
      </c>
      <c r="I34" s="107">
        <f t="shared" si="22"/>
        <v>201.56340259153092</v>
      </c>
      <c r="J34" s="63"/>
      <c r="K34" s="63"/>
      <c r="L34" s="95" t="s">
        <v>78</v>
      </c>
      <c r="M34" s="96">
        <v>2025</v>
      </c>
      <c r="N34" s="96">
        <v>2026</v>
      </c>
      <c r="O34" s="96">
        <v>2027</v>
      </c>
      <c r="P34" s="96">
        <v>2028</v>
      </c>
      <c r="Q34" s="96">
        <v>2029</v>
      </c>
      <c r="R34" s="97">
        <v>2030</v>
      </c>
      <c r="S34" s="64"/>
      <c r="T34" s="64"/>
    </row>
    <row r="35" spans="1:20" x14ac:dyDescent="0.25">
      <c r="A35" s="63"/>
      <c r="B35" s="63"/>
      <c r="C35" s="139"/>
      <c r="D35" s="80"/>
      <c r="E35" s="87"/>
      <c r="F35" s="87"/>
      <c r="G35" s="87"/>
      <c r="H35" s="87"/>
      <c r="I35" s="90"/>
      <c r="J35" s="63"/>
      <c r="K35" s="63"/>
      <c r="L35" s="101" t="s">
        <v>120</v>
      </c>
      <c r="M35" s="140"/>
      <c r="N35" s="141">
        <f>-(SUM(Datos!$E$23:$E$27)/5)/1000000</f>
        <v>-53</v>
      </c>
      <c r="O35" s="141">
        <f>+N35</f>
        <v>-53</v>
      </c>
      <c r="P35" s="141">
        <f>+O35</f>
        <v>-53</v>
      </c>
      <c r="Q35" s="141">
        <f>+P35</f>
        <v>-53</v>
      </c>
      <c r="R35" s="141">
        <f>+Q35</f>
        <v>-53</v>
      </c>
      <c r="S35" s="86" t="s">
        <v>81</v>
      </c>
      <c r="T35" s="64"/>
    </row>
    <row r="36" ht="16" customHeight="1" spans="1:20" x14ac:dyDescent="0.25">
      <c r="A36" s="63"/>
      <c r="B36" s="63"/>
      <c r="C36" s="79" t="s">
        <v>121</v>
      </c>
      <c r="D36" s="80">
        <f>-(SUM(Datos!E23:E27)+(Datos!E29*Supuestos!B$3)+(Datos!E28*Supuestos!B3))/1000000</f>
        <v>-272.403559375</v>
      </c>
      <c r="E36" s="87">
        <v>0</v>
      </c>
      <c r="F36" s="87">
        <v>0</v>
      </c>
      <c r="G36" s="87">
        <v>0</v>
      </c>
      <c r="H36" s="87">
        <v>0</v>
      </c>
      <c r="I36" s="90">
        <v>0</v>
      </c>
      <c r="J36" s="86" t="s">
        <v>81</v>
      </c>
      <c r="K36" s="63"/>
      <c r="L36" s="101" t="s">
        <v>122</v>
      </c>
      <c r="M36" s="130"/>
      <c r="N36" s="130"/>
      <c r="O36" s="130"/>
      <c r="P36" s="130"/>
      <c r="Q36" s="130"/>
      <c r="R36" s="130"/>
      <c r="S36" s="64"/>
      <c r="T36" s="64"/>
    </row>
    <row r="37" ht="16" customHeight="1" spans="1:20" x14ac:dyDescent="0.25">
      <c r="A37" s="63"/>
      <c r="B37" s="63"/>
      <c r="C37" s="142" t="s">
        <v>123</v>
      </c>
      <c r="D37" s="143">
        <f>SUM(D34:D36)</f>
        <v>-272.403559375</v>
      </c>
      <c r="E37" s="144">
        <f>+E34-E27</f>
        <v>36.6116159376875</v>
      </c>
      <c r="F37" s="144">
        <f t="shared" ref="F37:I37" si="23">+F34-F27</f>
        <v>191.6723190382755</v>
      </c>
      <c r="G37" s="144">
        <f t="shared" si="23"/>
        <v>225.88854181572646</v>
      </c>
      <c r="H37" s="144">
        <f t="shared" si="23"/>
        <v>240.80132582696524</v>
      </c>
      <c r="I37" s="144">
        <f t="shared" si="23"/>
        <v>254.56340259153092</v>
      </c>
      <c r="J37" s="63"/>
      <c r="K37" s="63"/>
      <c r="L37" s="101" t="s">
        <v>124</v>
      </c>
      <c r="M37" s="141">
        <f>+D36</f>
        <v>-272.403559375</v>
      </c>
      <c r="N37" s="141">
        <f>+M37-E27</f>
        <v>-219.403559375</v>
      </c>
      <c r="O37" s="141">
        <f>+N37-F27</f>
        <v>-166.403559375</v>
      </c>
      <c r="P37" s="141">
        <f>+O37-G27</f>
        <v>-113.40355937499999</v>
      </c>
      <c r="Q37" s="141">
        <f>+P37-H27</f>
        <v>-60.403559374999986</v>
      </c>
      <c r="R37" s="141">
        <f>+Q37-I27</f>
        <v>-7.403559374999986</v>
      </c>
      <c r="S37" s="64"/>
      <c r="T37" s="64"/>
    </row>
    <row r="38" ht="16" customHeight="1" spans="1:20" x14ac:dyDescent="0.25">
      <c r="A38" s="63"/>
      <c r="B38" s="63"/>
      <c r="C38" s="79" t="s">
        <v>125</v>
      </c>
      <c r="D38" s="80">
        <f>+D37</f>
        <v>-272.403559375</v>
      </c>
      <c r="E38" s="87">
        <f>+E37+D38</f>
        <v>-235.79194343731248</v>
      </c>
      <c r="F38" s="87">
        <f t="shared" ref="F38:I38" si="24">+F37+E38</f>
        <v>-44.11962439903698</v>
      </c>
      <c r="G38" s="87">
        <f t="shared" si="24"/>
        <v>181.76891741668948</v>
      </c>
      <c r="H38" s="87">
        <f t="shared" si="24"/>
        <v>422.5702432436547</v>
      </c>
      <c r="I38" s="90">
        <f t="shared" si="24"/>
        <v>677.1336458351857</v>
      </c>
      <c r="J38" s="63"/>
      <c r="K38" s="63"/>
      <c r="L38" s="84" t="s">
        <v>126</v>
      </c>
      <c r="M38" s="145"/>
      <c r="N38" s="145">
        <v>0.27</v>
      </c>
      <c r="O38" s="145">
        <v>0.27</v>
      </c>
      <c r="P38" s="145">
        <v>0.27</v>
      </c>
      <c r="Q38" s="145">
        <v>0.27</v>
      </c>
      <c r="R38" s="145">
        <v>0.27</v>
      </c>
      <c r="S38" s="64"/>
      <c r="T38" s="64"/>
    </row>
    <row r="39" ht="16" customHeight="1" spans="1:20" x14ac:dyDescent="0.25">
      <c r="A39" s="63"/>
      <c r="B39" s="63"/>
      <c r="C39" s="142" t="s">
        <v>127</v>
      </c>
      <c r="D39" s="143">
        <f>+SUM(E39:I39)</f>
        <v>3</v>
      </c>
      <c r="E39" s="144">
        <f>+IF(E38&gt;0,E7,"")</f>
      </c>
      <c r="F39" s="144">
        <f>+IF(F38&gt;0,IF(E39="",F7,"-"),"")</f>
      </c>
      <c r="G39" s="144">
        <f>+IF(G38&gt;0,IF(F39="",G7,"-"),"")</f>
        <v>3</v>
      </c>
      <c r="H39" s="144" t="str">
        <f>+IF(H38&gt;0,IF(G39="",H7,"-"),"")</f>
        <v>-</v>
      </c>
      <c r="I39" s="144" t="str">
        <f>+IF(I38&gt;0,IF(H39="",I7,"-"),"")</f>
        <v>-</v>
      </c>
      <c r="J39" s="63"/>
      <c r="K39" s="63"/>
      <c r="L39" s="146" t="s">
        <v>128</v>
      </c>
      <c r="M39" s="147"/>
      <c r="N39" s="147"/>
      <c r="O39" s="147"/>
      <c r="P39" s="147"/>
      <c r="Q39" s="147"/>
      <c r="R39" s="148"/>
      <c r="S39" s="64"/>
      <c r="T39" s="64"/>
    </row>
    <row r="40" spans="1:20" x14ac:dyDescent="0.25">
      <c r="A40" s="63"/>
      <c r="B40" s="63"/>
      <c r="C40" s="79" t="s">
        <v>129</v>
      </c>
      <c r="D40" s="149"/>
      <c r="E40" s="150">
        <f>+N37</f>
        <v>-219.403559375</v>
      </c>
      <c r="F40" s="150">
        <f>+O37</f>
        <v>-166.403559375</v>
      </c>
      <c r="G40" s="150">
        <f>+P37</f>
        <v>-113.40355937499999</v>
      </c>
      <c r="H40" s="150">
        <f>+Q37</f>
        <v>-60.403559374999986</v>
      </c>
      <c r="I40" s="151">
        <f>+R37</f>
        <v>-7.403559374999986</v>
      </c>
      <c r="J40" s="63"/>
      <c r="K40" s="63"/>
      <c r="L40" s="63"/>
      <c r="M40" s="63"/>
      <c r="N40" s="63"/>
      <c r="O40" s="63"/>
      <c r="P40" s="63"/>
      <c r="Q40" s="63"/>
      <c r="R40" s="63"/>
      <c r="S40" s="64"/>
      <c r="T40" s="64"/>
    </row>
    <row r="41" ht="16" customHeight="1" spans="1:20" x14ac:dyDescent="0.25">
      <c r="A41" s="63"/>
      <c r="B41" s="63"/>
      <c r="C41" s="139" t="s">
        <v>130</v>
      </c>
      <c r="D41" s="149"/>
      <c r="E41" s="152">
        <f>+N23/1000000</f>
        <v>100</v>
      </c>
      <c r="F41" s="152">
        <f>+O23/1000000</f>
        <v>100</v>
      </c>
      <c r="G41" s="152">
        <f>+P23/1000000</f>
        <v>100</v>
      </c>
      <c r="H41" s="152">
        <f>+Q23/1000000</f>
        <v>100</v>
      </c>
      <c r="I41" s="153">
        <f>+R23/1000000</f>
        <v>100</v>
      </c>
      <c r="J41" s="63"/>
      <c r="K41" s="63"/>
      <c r="L41" s="63"/>
      <c r="M41" s="63"/>
      <c r="N41" s="63"/>
      <c r="O41" s="63"/>
      <c r="P41" s="63"/>
      <c r="Q41" s="63"/>
      <c r="R41" s="63"/>
      <c r="S41" s="64"/>
      <c r="T41" s="64"/>
    </row>
    <row r="42" ht="16" customHeight="1" spans="1:20" x14ac:dyDescent="0.25">
      <c r="A42" s="63"/>
      <c r="B42" s="63"/>
      <c r="C42" s="142" t="s">
        <v>97</v>
      </c>
      <c r="D42" s="154"/>
      <c r="E42" s="144">
        <f>+SUM(E40:E41)</f>
        <v>-119.40355937499999</v>
      </c>
      <c r="F42" s="144">
        <f t="shared" ref="F42:I42" si="25">+SUM(F40:F41)</f>
        <v>-66.40355937499999</v>
      </c>
      <c r="G42" s="144">
        <f t="shared" si="25"/>
        <v>-13.403559374999986</v>
      </c>
      <c r="H42" s="144">
        <f t="shared" si="25"/>
        <v>39.596440625000014</v>
      </c>
      <c r="I42" s="144">
        <f t="shared" si="25"/>
        <v>92.59644062500001</v>
      </c>
      <c r="J42" s="63"/>
      <c r="K42" s="155">
        <f>(Datos!E29*Supuestos!B$3)+(Datos!E28*Supuestos!B3)</f>
        <v>7403559.375</v>
      </c>
      <c r="L42" s="63"/>
      <c r="M42" s="63"/>
      <c r="N42" s="63"/>
      <c r="O42" s="63"/>
      <c r="P42" s="63"/>
      <c r="Q42" s="63"/>
      <c r="R42" s="63"/>
      <c r="S42" s="64"/>
      <c r="T42" s="64"/>
    </row>
    <row r="43" ht="16" customHeight="1" spans="1:20" x14ac:dyDescent="0.25">
      <c r="A43" s="63"/>
      <c r="B43" s="63"/>
      <c r="C43" s="156"/>
      <c r="D43" s="157"/>
      <c r="E43" s="157"/>
      <c r="F43" s="157"/>
      <c r="G43" s="157"/>
      <c r="H43" s="157"/>
      <c r="I43" s="158"/>
      <c r="J43" s="63"/>
      <c r="K43" s="63"/>
      <c r="L43" s="63"/>
      <c r="M43" s="63"/>
      <c r="N43" s="63"/>
      <c r="O43" s="63"/>
      <c r="P43" s="63"/>
      <c r="Q43" s="63"/>
      <c r="R43" s="63"/>
      <c r="S43" s="64"/>
      <c r="T43" s="64"/>
    </row>
    <row r="44" ht="16" customHeight="1" spans="1:20" x14ac:dyDescent="0.25">
      <c r="A44" s="63"/>
      <c r="B44" s="63"/>
      <c r="C44" s="159" t="s">
        <v>131</v>
      </c>
      <c r="D44" s="160"/>
      <c r="E44" s="161">
        <f>+E31/E10</f>
        <v>-0.12472133989583334</v>
      </c>
      <c r="F44" s="161">
        <f>+F31/F10</f>
        <v>0.19787716757744794</v>
      </c>
      <c r="G44" s="161">
        <f>+G31/G10</f>
        <v>0.21929038789412283</v>
      </c>
      <c r="H44" s="161">
        <f>+H31/H10</f>
        <v>0.2256685001525658</v>
      </c>
      <c r="I44" s="161">
        <f>+I31/I10</f>
        <v>0.23067188815821624</v>
      </c>
      <c r="J44" s="63"/>
      <c r="K44" s="63"/>
      <c r="L44" s="63"/>
      <c r="M44" s="63"/>
      <c r="N44" s="63"/>
      <c r="O44" s="63"/>
      <c r="P44" s="63"/>
      <c r="Q44" s="63"/>
      <c r="R44" s="63"/>
      <c r="S44" s="64"/>
      <c r="T44" s="64"/>
    </row>
    <row r="45" ht="16" customHeight="1" spans="1:20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4"/>
      <c r="M45" s="64"/>
      <c r="N45" s="64"/>
      <c r="O45" s="64"/>
      <c r="P45" s="64"/>
      <c r="Q45" s="64"/>
      <c r="R45" s="64"/>
      <c r="S45" s="64"/>
      <c r="T45" s="64"/>
    </row>
    <row r="46" ht="30" customHeight="1" spans="1:20" x14ac:dyDescent="0.25">
      <c r="A46" s="63"/>
      <c r="B46" s="63"/>
      <c r="C46" s="162" t="s">
        <v>132</v>
      </c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4"/>
      <c r="T46" s="64"/>
    </row>
    <row r="47" spans="1:20" x14ac:dyDescent="0.25">
      <c r="A47" s="63"/>
      <c r="B47" s="63"/>
      <c r="C47" s="165"/>
      <c r="D47" s="63"/>
      <c r="E47" s="63"/>
      <c r="F47" s="63"/>
      <c r="G47" s="63"/>
      <c r="H47" s="63"/>
      <c r="I47" s="63"/>
      <c r="J47" s="63"/>
      <c r="K47" s="63"/>
      <c r="L47" s="64"/>
      <c r="M47" s="64"/>
      <c r="N47" s="64"/>
      <c r="O47" s="64"/>
      <c r="P47" s="64"/>
      <c r="Q47" s="64"/>
      <c r="R47" s="64"/>
      <c r="S47" s="166"/>
      <c r="T47" s="64"/>
    </row>
    <row r="48" spans="1:20" x14ac:dyDescent="0.25">
      <c r="A48" s="63"/>
      <c r="B48" s="63"/>
      <c r="C48" s="165"/>
      <c r="D48" s="63"/>
      <c r="E48" s="63"/>
      <c r="F48" s="63"/>
      <c r="G48" s="63"/>
      <c r="H48" s="63"/>
      <c r="I48" s="63"/>
      <c r="J48" s="63"/>
      <c r="K48" s="63"/>
      <c r="L48" s="64"/>
      <c r="M48" s="64"/>
      <c r="N48" s="64"/>
      <c r="O48" s="64"/>
      <c r="P48" s="64"/>
      <c r="Q48" s="64"/>
      <c r="R48" s="64"/>
      <c r="S48" s="166"/>
      <c r="T48" s="64"/>
    </row>
    <row r="49" spans="1:20" x14ac:dyDescent="0.25">
      <c r="A49" s="63"/>
      <c r="B49" s="63"/>
      <c r="C49" s="165"/>
      <c r="D49" s="63"/>
      <c r="E49" s="63"/>
      <c r="F49" s="63"/>
      <c r="G49" s="63"/>
      <c r="H49" s="63"/>
      <c r="I49" s="63"/>
      <c r="J49" s="63"/>
      <c r="K49" s="63"/>
      <c r="L49" s="64"/>
      <c r="M49" s="64"/>
      <c r="N49" s="64"/>
      <c r="O49" s="64"/>
      <c r="P49" s="64"/>
      <c r="Q49" s="64"/>
      <c r="R49" s="64"/>
      <c r="S49" s="166"/>
      <c r="T49" s="64"/>
    </row>
    <row r="50" spans="1:20" x14ac:dyDescent="0.25">
      <c r="A50" s="63"/>
      <c r="B50" s="63"/>
      <c r="C50" s="165"/>
      <c r="D50" s="63"/>
      <c r="E50" s="63"/>
      <c r="F50" s="63"/>
      <c r="G50" s="63"/>
      <c r="H50" s="63"/>
      <c r="I50" s="63"/>
      <c r="J50" s="63"/>
      <c r="K50" s="63"/>
      <c r="L50" s="64"/>
      <c r="M50" s="64"/>
      <c r="N50" s="64"/>
      <c r="O50" s="64"/>
      <c r="P50" s="64"/>
      <c r="Q50" s="64"/>
      <c r="R50" s="64"/>
      <c r="S50" s="166"/>
      <c r="T50" s="64"/>
    </row>
    <row r="51" spans="1:20" x14ac:dyDescent="0.25">
      <c r="A51" s="63"/>
      <c r="B51" s="63"/>
      <c r="C51" s="165"/>
      <c r="D51" s="63"/>
      <c r="E51" s="63"/>
      <c r="F51" s="63"/>
      <c r="G51" s="63"/>
      <c r="H51" s="63"/>
      <c r="I51" s="63"/>
      <c r="J51" s="63"/>
      <c r="K51" s="63"/>
      <c r="L51" s="64"/>
      <c r="M51" s="64"/>
      <c r="N51" s="64"/>
      <c r="O51" s="64"/>
      <c r="P51" s="64"/>
      <c r="Q51" s="64"/>
      <c r="R51" s="64"/>
      <c r="S51" s="166"/>
      <c r="T51" s="64"/>
    </row>
    <row r="52" spans="1:20" x14ac:dyDescent="0.25">
      <c r="A52" s="63"/>
      <c r="B52" s="63"/>
      <c r="C52" s="165"/>
      <c r="D52" s="63"/>
      <c r="E52" s="63"/>
      <c r="F52" s="63"/>
      <c r="G52" s="63"/>
      <c r="H52" s="63"/>
      <c r="I52" s="63"/>
      <c r="J52" s="63"/>
      <c r="K52" s="63"/>
      <c r="L52" s="64"/>
      <c r="M52" s="64"/>
      <c r="N52" s="64"/>
      <c r="O52" s="64"/>
      <c r="P52" s="64"/>
      <c r="Q52" s="64"/>
      <c r="R52" s="64"/>
      <c r="S52" s="166"/>
      <c r="T52" s="64"/>
    </row>
    <row r="53" spans="1:20" x14ac:dyDescent="0.25">
      <c r="A53" s="63"/>
      <c r="B53" s="63"/>
      <c r="C53" s="165"/>
      <c r="D53" s="63"/>
      <c r="E53" s="63"/>
      <c r="F53" s="63"/>
      <c r="G53" s="63"/>
      <c r="H53" s="63"/>
      <c r="I53" s="63"/>
      <c r="J53" s="63"/>
      <c r="K53" s="63"/>
      <c r="L53" s="64"/>
      <c r="M53" s="64"/>
      <c r="N53" s="64"/>
      <c r="O53" s="64"/>
      <c r="P53" s="64"/>
      <c r="Q53" s="64"/>
      <c r="R53" s="64"/>
      <c r="S53" s="166"/>
      <c r="T53" s="64"/>
    </row>
    <row r="54" spans="1:20" x14ac:dyDescent="0.25">
      <c r="A54" s="63"/>
      <c r="B54" s="63"/>
      <c r="C54" s="165"/>
      <c r="D54" s="63"/>
      <c r="E54" s="63"/>
      <c r="F54" s="63"/>
      <c r="G54" s="63"/>
      <c r="H54" s="63"/>
      <c r="I54" s="63"/>
      <c r="J54" s="63"/>
      <c r="K54" s="63"/>
      <c r="L54" s="64"/>
      <c r="M54" s="64"/>
      <c r="N54" s="64"/>
      <c r="O54" s="64"/>
      <c r="P54" s="64"/>
      <c r="Q54" s="64"/>
      <c r="R54" s="64"/>
      <c r="S54" s="166"/>
      <c r="T54" s="64"/>
    </row>
    <row r="55" spans="1:20" x14ac:dyDescent="0.25">
      <c r="A55" s="63"/>
      <c r="B55" s="63"/>
      <c r="C55" s="165"/>
      <c r="D55" s="63"/>
      <c r="E55" s="63"/>
      <c r="F55" s="63"/>
      <c r="G55" s="63"/>
      <c r="H55" s="63"/>
      <c r="I55" s="63"/>
      <c r="J55" s="63"/>
      <c r="K55" s="63"/>
      <c r="L55" s="64"/>
      <c r="M55" s="64"/>
      <c r="N55" s="64"/>
      <c r="O55" s="64"/>
      <c r="P55" s="64"/>
      <c r="Q55" s="64"/>
      <c r="R55" s="64"/>
      <c r="S55" s="166"/>
      <c r="T55" s="64"/>
    </row>
    <row r="56" spans="1:20" x14ac:dyDescent="0.25">
      <c r="A56" s="63"/>
      <c r="B56" s="63"/>
      <c r="C56" s="165"/>
      <c r="D56" s="63"/>
      <c r="E56" s="63"/>
      <c r="F56" s="63"/>
      <c r="G56" s="63"/>
      <c r="H56" s="63"/>
      <c r="I56" s="63"/>
      <c r="J56" s="63"/>
      <c r="K56" s="63"/>
      <c r="L56" s="64"/>
      <c r="M56" s="64"/>
      <c r="N56" s="64"/>
      <c r="O56" s="64"/>
      <c r="P56" s="64"/>
      <c r="Q56" s="64"/>
      <c r="R56" s="64"/>
      <c r="S56" s="166"/>
      <c r="T56" s="64"/>
    </row>
    <row r="57" spans="1:20" x14ac:dyDescent="0.25">
      <c r="A57" s="63"/>
      <c r="B57" s="63"/>
      <c r="C57" s="165"/>
      <c r="D57" s="63"/>
      <c r="E57" s="63"/>
      <c r="F57" s="63"/>
      <c r="G57" s="63"/>
      <c r="H57" s="63"/>
      <c r="I57" s="63"/>
      <c r="J57" s="63"/>
      <c r="K57" s="63"/>
      <c r="L57" s="64"/>
      <c r="M57" s="64"/>
      <c r="N57" s="64"/>
      <c r="O57" s="64"/>
      <c r="P57" s="64"/>
      <c r="Q57" s="64"/>
      <c r="R57" s="64"/>
      <c r="S57" s="166"/>
      <c r="T57" s="64"/>
    </row>
    <row r="58" spans="1:20" x14ac:dyDescent="0.25">
      <c r="A58" s="63"/>
      <c r="B58" s="63"/>
      <c r="C58" s="165"/>
      <c r="D58" s="63"/>
      <c r="E58" s="63"/>
      <c r="F58" s="63"/>
      <c r="G58" s="63"/>
      <c r="H58" s="63"/>
      <c r="I58" s="63"/>
      <c r="J58" s="63"/>
      <c r="K58" s="63"/>
      <c r="L58" s="64"/>
      <c r="M58" s="64"/>
      <c r="N58" s="64"/>
      <c r="O58" s="64"/>
      <c r="P58" s="64"/>
      <c r="Q58" s="64"/>
      <c r="R58" s="64"/>
      <c r="S58" s="166"/>
      <c r="T58" s="64"/>
    </row>
    <row r="59" spans="1:20" x14ac:dyDescent="0.25">
      <c r="A59" s="63"/>
      <c r="B59" s="63"/>
      <c r="C59" s="165"/>
      <c r="D59" s="63"/>
      <c r="E59" s="63"/>
      <c r="F59" s="63"/>
      <c r="G59" s="63"/>
      <c r="H59" s="63"/>
      <c r="I59" s="63"/>
      <c r="J59" s="63"/>
      <c r="K59" s="63"/>
      <c r="L59" s="64"/>
      <c r="M59" s="64"/>
      <c r="N59" s="64"/>
      <c r="O59" s="64"/>
      <c r="P59" s="64"/>
      <c r="Q59" s="64"/>
      <c r="R59" s="64"/>
      <c r="S59" s="166"/>
      <c r="T59" s="64"/>
    </row>
    <row r="60" spans="1:20" x14ac:dyDescent="0.25">
      <c r="A60" s="63"/>
      <c r="B60" s="63"/>
      <c r="C60" s="165"/>
      <c r="D60" s="63"/>
      <c r="E60" s="63"/>
      <c r="F60" s="63"/>
      <c r="G60" s="63"/>
      <c r="H60" s="63"/>
      <c r="I60" s="63"/>
      <c r="J60" s="63"/>
      <c r="K60" s="63"/>
      <c r="L60" s="64"/>
      <c r="M60" s="64"/>
      <c r="N60" s="64"/>
      <c r="O60" s="64"/>
      <c r="P60" s="64"/>
      <c r="Q60" s="64"/>
      <c r="R60" s="64"/>
      <c r="S60" s="166"/>
      <c r="T60" s="64"/>
    </row>
    <row r="61" spans="1:20" x14ac:dyDescent="0.25">
      <c r="A61" s="63"/>
      <c r="B61" s="63"/>
      <c r="C61" s="165"/>
      <c r="D61" s="63"/>
      <c r="E61" s="63"/>
      <c r="F61" s="63"/>
      <c r="G61" s="63"/>
      <c r="H61" s="63"/>
      <c r="I61" s="63"/>
      <c r="J61" s="63"/>
      <c r="K61" s="63"/>
      <c r="L61" s="64"/>
      <c r="M61" s="64"/>
      <c r="N61" s="64"/>
      <c r="O61" s="64"/>
      <c r="P61" s="64"/>
      <c r="Q61" s="64"/>
      <c r="R61" s="64"/>
      <c r="S61" s="166"/>
      <c r="T61" s="64"/>
    </row>
    <row r="62" spans="1:20" x14ac:dyDescent="0.25">
      <c r="A62" s="63"/>
      <c r="B62" s="63"/>
      <c r="C62" s="165"/>
      <c r="D62" s="63"/>
      <c r="E62" s="63"/>
      <c r="F62" s="63"/>
      <c r="G62" s="63"/>
      <c r="H62" s="63"/>
      <c r="I62" s="63"/>
      <c r="J62" s="63"/>
      <c r="K62" s="63"/>
      <c r="L62" s="64"/>
      <c r="M62" s="64"/>
      <c r="N62" s="64"/>
      <c r="O62" s="64"/>
      <c r="P62" s="64"/>
      <c r="Q62" s="64"/>
      <c r="R62" s="64"/>
      <c r="S62" s="166"/>
      <c r="T62" s="64"/>
    </row>
    <row r="63" spans="1:20" x14ac:dyDescent="0.25">
      <c r="A63" s="63"/>
      <c r="B63" s="63"/>
      <c r="C63" s="165"/>
      <c r="D63" s="63"/>
      <c r="E63" s="63"/>
      <c r="F63" s="63"/>
      <c r="G63" s="63"/>
      <c r="H63" s="63"/>
      <c r="I63" s="63"/>
      <c r="J63" s="63"/>
      <c r="K63" s="63"/>
      <c r="L63" s="64"/>
      <c r="M63" s="64"/>
      <c r="N63" s="64"/>
      <c r="O63" s="64"/>
      <c r="P63" s="64"/>
      <c r="Q63" s="64"/>
      <c r="R63" s="64"/>
      <c r="S63" s="166"/>
      <c r="T63" s="64"/>
    </row>
    <row r="64" spans="1:20" x14ac:dyDescent="0.25">
      <c r="A64" s="63"/>
      <c r="B64" s="63"/>
      <c r="C64" s="165"/>
      <c r="D64" s="63"/>
      <c r="E64" s="63"/>
      <c r="F64" s="63"/>
      <c r="G64" s="63"/>
      <c r="H64" s="63"/>
      <c r="I64" s="63"/>
      <c r="J64" s="63"/>
      <c r="K64" s="63"/>
      <c r="L64" s="64"/>
      <c r="M64" s="64"/>
      <c r="N64" s="64"/>
      <c r="O64" s="64"/>
      <c r="P64" s="64"/>
      <c r="Q64" s="64"/>
      <c r="R64" s="64"/>
      <c r="S64" s="166"/>
      <c r="T64" s="64"/>
    </row>
    <row r="65" spans="1:20" x14ac:dyDescent="0.25">
      <c r="A65" s="63"/>
      <c r="B65" s="63"/>
      <c r="C65" s="165"/>
      <c r="D65" s="63"/>
      <c r="E65" s="63"/>
      <c r="F65" s="63"/>
      <c r="G65" s="63"/>
      <c r="H65" s="63"/>
      <c r="I65" s="63"/>
      <c r="J65" s="63"/>
      <c r="K65" s="63"/>
      <c r="L65" s="64"/>
      <c r="M65" s="64"/>
      <c r="N65" s="64"/>
      <c r="O65" s="64"/>
      <c r="P65" s="64"/>
      <c r="Q65" s="64"/>
      <c r="R65" s="64"/>
      <c r="S65" s="166"/>
      <c r="T65" s="64"/>
    </row>
    <row r="66" spans="1:20" x14ac:dyDescent="0.25">
      <c r="A66" s="63"/>
      <c r="B66" s="63"/>
      <c r="C66" s="165"/>
      <c r="D66" s="63"/>
      <c r="E66" s="63"/>
      <c r="F66" s="63"/>
      <c r="G66" s="63"/>
      <c r="H66" s="63"/>
      <c r="I66" s="63"/>
      <c r="J66" s="63"/>
      <c r="K66" s="63"/>
      <c r="L66" s="64"/>
      <c r="M66" s="64"/>
      <c r="N66" s="64"/>
      <c r="O66" s="64"/>
      <c r="P66" s="64"/>
      <c r="Q66" s="64"/>
      <c r="R66" s="64"/>
      <c r="S66" s="166"/>
      <c r="T66" s="64"/>
    </row>
    <row r="67" spans="1:20" x14ac:dyDescent="0.25">
      <c r="A67" s="63"/>
      <c r="B67" s="63"/>
      <c r="C67" s="165"/>
      <c r="D67" s="63"/>
      <c r="E67" s="63"/>
      <c r="F67" s="63"/>
      <c r="G67" s="63"/>
      <c r="H67" s="63"/>
      <c r="I67" s="63"/>
      <c r="J67" s="63"/>
      <c r="K67" s="63"/>
      <c r="L67" s="64"/>
      <c r="M67" s="64"/>
      <c r="N67" s="64"/>
      <c r="O67" s="64"/>
      <c r="P67" s="64"/>
      <c r="Q67" s="64"/>
      <c r="R67" s="64"/>
      <c r="S67" s="166"/>
      <c r="T67" s="64"/>
    </row>
    <row r="68" spans="1:20" x14ac:dyDescent="0.25">
      <c r="A68" s="63"/>
      <c r="B68" s="63"/>
      <c r="C68" s="165"/>
      <c r="D68" s="63"/>
      <c r="E68" s="63"/>
      <c r="F68" s="63"/>
      <c r="G68" s="63"/>
      <c r="H68" s="63"/>
      <c r="I68" s="63"/>
      <c r="J68" s="63"/>
      <c r="K68" s="63"/>
      <c r="L68" s="64"/>
      <c r="M68" s="64"/>
      <c r="N68" s="64"/>
      <c r="O68" s="64"/>
      <c r="P68" s="64"/>
      <c r="Q68" s="64"/>
      <c r="R68" s="64"/>
      <c r="S68" s="166"/>
      <c r="T68" s="64"/>
    </row>
    <row r="69" spans="1:20" x14ac:dyDescent="0.25">
      <c r="A69" s="63"/>
      <c r="B69" s="63"/>
      <c r="C69" s="165"/>
      <c r="D69" s="63"/>
      <c r="E69" s="63"/>
      <c r="F69" s="63"/>
      <c r="G69" s="63"/>
      <c r="H69" s="63"/>
      <c r="I69" s="63"/>
      <c r="J69" s="63"/>
      <c r="K69" s="63"/>
      <c r="L69" s="64"/>
      <c r="M69" s="64"/>
      <c r="N69" s="64"/>
      <c r="O69" s="64"/>
      <c r="P69" s="64"/>
      <c r="Q69" s="64"/>
      <c r="R69" s="64"/>
      <c r="S69" s="166"/>
      <c r="T69" s="64"/>
    </row>
    <row r="70" spans="1:20" x14ac:dyDescent="0.25">
      <c r="A70" s="63"/>
      <c r="B70" s="63"/>
      <c r="C70" s="165"/>
      <c r="D70" s="63"/>
      <c r="E70" s="63"/>
      <c r="F70" s="63"/>
      <c r="G70" s="63"/>
      <c r="H70" s="63"/>
      <c r="I70" s="63"/>
      <c r="J70" s="63"/>
      <c r="K70" s="63"/>
      <c r="L70" s="64"/>
      <c r="M70" s="64"/>
      <c r="N70" s="64"/>
      <c r="O70" s="64"/>
      <c r="P70" s="64"/>
      <c r="Q70" s="64"/>
      <c r="R70" s="64"/>
      <c r="S70" s="166"/>
      <c r="T70" s="64"/>
    </row>
    <row r="71" spans="1:20" x14ac:dyDescent="0.25">
      <c r="A71" s="63"/>
      <c r="B71" s="63"/>
      <c r="C71" s="165"/>
      <c r="D71" s="63"/>
      <c r="E71" s="63"/>
      <c r="F71" s="63"/>
      <c r="G71" s="63"/>
      <c r="H71" s="63"/>
      <c r="I71" s="63"/>
      <c r="J71" s="63"/>
      <c r="K71" s="63"/>
      <c r="L71" s="64"/>
      <c r="M71" s="64"/>
      <c r="N71" s="64"/>
      <c r="O71" s="64"/>
      <c r="P71" s="64"/>
      <c r="Q71" s="64"/>
      <c r="R71" s="64"/>
      <c r="S71" s="166"/>
      <c r="T71" s="64"/>
    </row>
    <row r="72" spans="1:20" x14ac:dyDescent="0.25">
      <c r="A72" s="63"/>
      <c r="B72" s="63"/>
      <c r="C72" s="165"/>
      <c r="D72" s="63"/>
      <c r="E72" s="63"/>
      <c r="F72" s="63"/>
      <c r="G72" s="63"/>
      <c r="H72" s="63"/>
      <c r="I72" s="63"/>
      <c r="J72" s="63"/>
      <c r="K72" s="63"/>
      <c r="L72" s="64"/>
      <c r="M72" s="64"/>
      <c r="N72" s="64"/>
      <c r="O72" s="64"/>
      <c r="P72" s="64"/>
      <c r="Q72" s="64"/>
      <c r="R72" s="64"/>
      <c r="S72" s="166"/>
      <c r="T72" s="64"/>
    </row>
    <row r="73" spans="1:20" x14ac:dyDescent="0.25">
      <c r="A73" s="63"/>
      <c r="B73" s="63"/>
      <c r="C73" s="165"/>
      <c r="D73" s="63"/>
      <c r="E73" s="63"/>
      <c r="F73" s="63"/>
      <c r="G73" s="63"/>
      <c r="H73" s="63"/>
      <c r="I73" s="63"/>
      <c r="J73" s="63"/>
      <c r="K73" s="63"/>
      <c r="L73" s="64"/>
      <c r="M73" s="64"/>
      <c r="N73" s="64"/>
      <c r="O73" s="64"/>
      <c r="P73" s="64"/>
      <c r="Q73" s="64"/>
      <c r="R73" s="64"/>
      <c r="S73" s="166"/>
      <c r="T73" s="64"/>
    </row>
    <row r="74" spans="1:20" x14ac:dyDescent="0.25">
      <c r="A74" s="63"/>
      <c r="B74" s="63"/>
      <c r="C74" s="165"/>
      <c r="D74" s="63"/>
      <c r="E74" s="63"/>
      <c r="F74" s="63"/>
      <c r="G74" s="63"/>
      <c r="H74" s="63"/>
      <c r="I74" s="63"/>
      <c r="J74" s="63"/>
      <c r="K74" s="63"/>
      <c r="L74" s="64"/>
      <c r="M74" s="64"/>
      <c r="N74" s="64"/>
      <c r="O74" s="64"/>
      <c r="P74" s="64"/>
      <c r="Q74" s="64"/>
      <c r="R74" s="64"/>
      <c r="S74" s="166"/>
      <c r="T74" s="64"/>
    </row>
    <row r="75" spans="1:20" x14ac:dyDescent="0.25">
      <c r="A75" s="63"/>
      <c r="B75" s="63"/>
      <c r="C75" s="165"/>
      <c r="D75" s="63"/>
      <c r="E75" s="63"/>
      <c r="F75" s="63"/>
      <c r="G75" s="63"/>
      <c r="H75" s="63"/>
      <c r="I75" s="63"/>
      <c r="J75" s="63"/>
      <c r="K75" s="63"/>
      <c r="L75" s="64"/>
      <c r="M75" s="64"/>
      <c r="N75" s="64"/>
      <c r="O75" s="64"/>
      <c r="P75" s="64"/>
      <c r="Q75" s="64"/>
      <c r="R75" s="64"/>
      <c r="S75" s="166"/>
      <c r="T75" s="64"/>
    </row>
    <row r="76" spans="1:20" x14ac:dyDescent="0.25">
      <c r="A76" s="63"/>
      <c r="B76" s="63"/>
      <c r="C76" s="165"/>
      <c r="D76" s="63"/>
      <c r="E76" s="63"/>
      <c r="F76" s="63"/>
      <c r="G76" s="63"/>
      <c r="H76" s="63"/>
      <c r="I76" s="63"/>
      <c r="J76" s="63"/>
      <c r="K76" s="63"/>
      <c r="L76" s="64"/>
      <c r="M76" s="64"/>
      <c r="N76" s="64"/>
      <c r="O76" s="64"/>
      <c r="P76" s="64"/>
      <c r="Q76" s="64"/>
      <c r="R76" s="64"/>
      <c r="S76" s="166"/>
      <c r="T76" s="64"/>
    </row>
    <row r="77" spans="1:20" x14ac:dyDescent="0.25">
      <c r="A77" s="63"/>
      <c r="B77" s="63"/>
      <c r="C77" s="165"/>
      <c r="D77" s="63"/>
      <c r="E77" s="63"/>
      <c r="F77" s="63"/>
      <c r="G77" s="63"/>
      <c r="H77" s="63"/>
      <c r="I77" s="63"/>
      <c r="J77" s="63"/>
      <c r="K77" s="63"/>
      <c r="L77" s="64"/>
      <c r="M77" s="64"/>
      <c r="N77" s="64"/>
      <c r="O77" s="64"/>
      <c r="P77" s="64"/>
      <c r="Q77" s="64"/>
      <c r="R77" s="64"/>
      <c r="S77" s="166"/>
      <c r="T77" s="64"/>
    </row>
    <row r="78" spans="1:20" x14ac:dyDescent="0.25">
      <c r="A78" s="63"/>
      <c r="B78" s="63"/>
      <c r="C78" s="165"/>
      <c r="D78" s="63"/>
      <c r="E78" s="63"/>
      <c r="F78" s="63"/>
      <c r="G78" s="63"/>
      <c r="H78" s="63"/>
      <c r="I78" s="63"/>
      <c r="J78" s="63"/>
      <c r="K78" s="63"/>
      <c r="L78" s="64"/>
      <c r="M78" s="64"/>
      <c r="N78" s="64"/>
      <c r="O78" s="64"/>
      <c r="P78" s="64"/>
      <c r="Q78" s="64"/>
      <c r="R78" s="64"/>
      <c r="S78" s="166"/>
      <c r="T78" s="64"/>
    </row>
    <row r="79" ht="16" customHeight="1" hidden="1" spans="1:20" x14ac:dyDescent="0.25">
      <c r="A79" s="63"/>
      <c r="B79" s="63"/>
      <c r="C79" s="167"/>
      <c r="D79" s="168"/>
      <c r="E79" s="168"/>
      <c r="F79" s="168"/>
      <c r="G79" s="168"/>
      <c r="H79" s="168"/>
      <c r="I79" s="168"/>
      <c r="J79" s="168"/>
      <c r="K79" s="168"/>
      <c r="L79" s="169"/>
      <c r="M79" s="169"/>
      <c r="N79" s="169"/>
      <c r="O79" s="169"/>
      <c r="P79" s="169"/>
      <c r="Q79" s="169"/>
      <c r="R79" s="169"/>
      <c r="S79" s="170"/>
      <c r="T79" s="63"/>
    </row>
    <row r="80" hidden="1" spans="1:19" x14ac:dyDescent="0.25">
      <c r="A80" s="63"/>
      <c r="C80" s="63"/>
      <c r="D80" s="63"/>
      <c r="E80" s="63"/>
      <c r="F80" s="63"/>
      <c r="G80" s="63"/>
      <c r="H80" s="63"/>
      <c r="I80" s="63"/>
      <c r="J80" s="63"/>
      <c r="K80" s="63"/>
      <c r="L80" s="64"/>
      <c r="M80" s="64"/>
      <c r="N80" s="64"/>
      <c r="O80" s="64"/>
      <c r="P80" s="64"/>
      <c r="Q80" s="64"/>
      <c r="R80" s="64"/>
      <c r="S80" s="64"/>
    </row>
    <row r="81" hidden="1" spans="3:19" x14ac:dyDescent="0.25"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</row>
    <row r="82" hidden="1" spans="3:9" x14ac:dyDescent="0.25">
      <c r="C82" s="63"/>
      <c r="D82" s="63"/>
      <c r="E82" s="63"/>
      <c r="F82" s="63"/>
      <c r="G82" s="63"/>
      <c r="H82" s="63"/>
      <c r="I82" s="63"/>
    </row>
  </sheetData>
  <mergeCells count="6">
    <mergeCell ref="L7:R7"/>
    <mergeCell ref="C7:C8"/>
    <mergeCell ref="L11:R11"/>
    <mergeCell ref="L18:R18"/>
    <mergeCell ref="L25:R25"/>
    <mergeCell ref="L33:R3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A68"/>
  <sheetViews>
    <sheetView workbookViewId="0" showGridLines="0" zoomScale="78" zoomScaleNormal="60">
      <selection activeCell="I22" sqref="I22"/>
    </sheetView>
  </sheetViews>
  <sheetFormatPr defaultRowHeight="15" outlineLevelRow="0" outlineLevelCol="0" x14ac:dyDescent="0"/>
  <cols>
    <col min="1" max="1" width="10.83203125" style="1" customWidth="1"/>
    <col min="2" max="2" width="15" style="1" customWidth="1"/>
    <col min="3" max="3" width="33.5" style="1" customWidth="1"/>
    <col min="4" max="4" width="7.5" style="1" customWidth="1"/>
    <col min="5" max="5" width="32.1640625" style="1" customWidth="1"/>
    <col min="6" max="6" width="17.5" style="1" customWidth="1"/>
    <col min="7" max="7" width="18.1640625" style="1" customWidth="1"/>
    <col min="8" max="8" width="12" style="1" customWidth="1"/>
    <col min="9" max="9" width="14.5" style="1" customWidth="1"/>
    <col min="10" max="10" width="21.1640625" style="1" customWidth="1"/>
    <col min="11" max="11" width="18.5" style="1" customWidth="1"/>
    <col min="12" max="12" width="14.5" style="1" customWidth="1"/>
    <col min="13" max="13" width="9.1640625" style="1" customWidth="1"/>
    <col min="14" max="27" style="1" hidden="1" customWidth="1"/>
    <col min="28" max="16383" width="10.83203125" style="1" hidden="1" customWidth="1"/>
    <col min="16384" max="16384" width="5.6640625" style="1" customWidth="1"/>
  </cols>
  <sheetData>
    <row r="1" ht="20.25" customHeight="1" spans="1:27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.25" customHeight="1" spans="1:2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0.25" customHeight="1" spans="1:27" x14ac:dyDescent="0.25">
      <c r="A3" s="2"/>
      <c r="B3" s="2"/>
      <c r="C3" s="3"/>
      <c r="D3" s="3"/>
      <c r="E3" s="2"/>
      <c r="F3" s="2"/>
      <c r="G3" s="4" t="s"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0.25" customHeight="1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0.25" customHeight="1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8" ht="16.5" customHeight="1" spans="2:5" x14ac:dyDescent="0.25">
      <c r="B8" s="5"/>
      <c r="C8" s="6" t="s">
        <v>1</v>
      </c>
      <c r="D8" s="6"/>
      <c r="E8" s="6"/>
    </row>
    <row r="9" ht="16.5" customHeight="1" spans="3:11" x14ac:dyDescent="0.25">
      <c r="C9" s="6"/>
      <c r="D9" s="6"/>
      <c r="E9" s="6"/>
      <c r="J9" s="7" t="s">
        <v>2</v>
      </c>
      <c r="K9" s="8" t="s">
        <v>3</v>
      </c>
    </row>
    <row r="10" ht="19.25" customHeight="1" spans="3:11" x14ac:dyDescent="0.25">
      <c r="C10" s="9" t="s">
        <v>4</v>
      </c>
      <c r="D10" s="9"/>
      <c r="E10" s="10">
        <v>46132</v>
      </c>
      <c r="H10" s="11" t="s">
        <v>5</v>
      </c>
      <c r="I10" s="12" t="s">
        <v>6</v>
      </c>
      <c r="J10" s="13">
        <f>IRR('Resumen business case'!D37:I37)</f>
        <v>0.47176986839988566</v>
      </c>
      <c r="K10" s="14"/>
    </row>
    <row r="11" ht="19.25" customHeight="1" spans="3:11" x14ac:dyDescent="0.25">
      <c r="C11" s="15" t="s">
        <v>7</v>
      </c>
      <c r="D11" s="15"/>
      <c r="E11" s="16" t="s">
        <v>8</v>
      </c>
      <c r="H11" s="17"/>
      <c r="I11" s="18" t="s">
        <v>9</v>
      </c>
      <c r="J11" s="19">
        <f>NPV(E30,'Resumen business case'!D37:I37)</f>
        <v>331.56079635005574</v>
      </c>
      <c r="K11" s="20"/>
    </row>
    <row r="12" ht="16" customHeight="1" spans="3:5" x14ac:dyDescent="0.25">
      <c r="C12" s="15" t="s">
        <v>10</v>
      </c>
      <c r="D12" s="15"/>
      <c r="E12" s="21" t="s">
        <v>11</v>
      </c>
    </row>
    <row r="13" spans="3:5" x14ac:dyDescent="0.25">
      <c r="C13" s="15" t="s">
        <v>12</v>
      </c>
      <c r="D13" s="15"/>
      <c r="E13" s="16" t="s">
        <v>13</v>
      </c>
    </row>
    <row r="14" spans="2:5" x14ac:dyDescent="0.25">
      <c r="B14" s="22">
        <v>500</v>
      </c>
      <c r="C14" s="15" t="s">
        <v>14</v>
      </c>
      <c r="D14" s="15" t="s">
        <v>15</v>
      </c>
      <c r="E14" s="16">
        <f>B14</f>
        <v>500</v>
      </c>
    </row>
    <row r="15" spans="2:6" x14ac:dyDescent="0.25">
      <c r="B15" s="22">
        <v>0.375</v>
      </c>
      <c r="C15" s="15" t="s">
        <v>16</v>
      </c>
      <c r="D15" s="15" t="s">
        <v>15</v>
      </c>
      <c r="E15" s="23">
        <f>B15</f>
        <v>0.375</v>
      </c>
      <c r="F15" s="1" t="s">
        <v>17</v>
      </c>
    </row>
    <row r="16" spans="2:6" x14ac:dyDescent="0.25">
      <c r="B16" s="22">
        <v>10</v>
      </c>
      <c r="C16" s="15" t="s">
        <v>18</v>
      </c>
      <c r="D16" s="15" t="s">
        <v>19</v>
      </c>
      <c r="E16" s="16">
        <f>B16</f>
        <v>10</v>
      </c>
      <c r="F16" s="1" t="s">
        <v>20</v>
      </c>
    </row>
    <row r="17" spans="3:6" x14ac:dyDescent="0.25">
      <c r="C17" s="15" t="s">
        <v>21</v>
      </c>
      <c r="D17" s="15" t="s">
        <v>22</v>
      </c>
      <c r="E17" s="24">
        <f>+E14*E15</f>
        <v>187.5</v>
      </c>
      <c r="F17" s="1"/>
    </row>
    <row r="18" spans="2:5" x14ac:dyDescent="0.25">
      <c r="B18" s="25">
        <v>0</v>
      </c>
      <c r="C18" s="15" t="s">
        <v>23</v>
      </c>
      <c r="D18" s="15" t="s">
        <v>22</v>
      </c>
      <c r="E18" s="23">
        <f>E14*B18</f>
        <v>0</v>
      </c>
    </row>
    <row r="19" spans="3:5" x14ac:dyDescent="0.25">
      <c r="C19" s="15" t="s">
        <v>24</v>
      </c>
      <c r="D19" s="15"/>
      <c r="E19" s="26">
        <v>46236</v>
      </c>
    </row>
    <row r="20" spans="3:6" x14ac:dyDescent="0.25">
      <c r="C20" s="15" t="s">
        <v>25</v>
      </c>
      <c r="D20" s="15" t="s">
        <v>26</v>
      </c>
      <c r="E20" s="27">
        <v>2</v>
      </c>
      <c r="F20" s="28"/>
    </row>
    <row r="21" ht="20.5" customHeight="1" spans="2:6" x14ac:dyDescent="0.25">
      <c r="B21" s="29">
        <f>(12-MONTH(Datos!E19))-1</f>
      </c>
      <c r="C21" s="15" t="s">
        <v>27</v>
      </c>
      <c r="D21" s="15"/>
      <c r="E21" s="30">
        <f>E19+(31*2)</f>
        <v>46298</v>
      </c>
      <c r="F21" s="28"/>
    </row>
    <row r="22" spans="3:5" x14ac:dyDescent="0.25">
      <c r="C22" s="15" t="s">
        <v>28</v>
      </c>
      <c r="D22" s="15"/>
      <c r="E22" s="30">
        <f>E19+(365*E16)</f>
        <v>49886</v>
      </c>
    </row>
    <row r="23" spans="2:6" x14ac:dyDescent="0.25">
      <c r="B23" s="31">
        <v>125</v>
      </c>
      <c r="C23" s="15" t="s">
        <v>29</v>
      </c>
      <c r="D23" s="15" t="s">
        <v>30</v>
      </c>
      <c r="E23" s="32">
        <f>B23*1000000</f>
        <v>125000000</v>
      </c>
      <c r="F23" s="28"/>
    </row>
    <row r="24" spans="2:6" x14ac:dyDescent="0.25">
      <c r="B24" s="31">
        <v>30</v>
      </c>
      <c r="C24" s="15" t="s">
        <v>31</v>
      </c>
      <c r="D24" s="15" t="s">
        <v>30</v>
      </c>
      <c r="E24" s="32">
        <f t="shared" ref="E24:E27" si="0">B24*1000000</f>
        <v>30000000</v>
      </c>
      <c r="F24" s="28"/>
    </row>
    <row r="25" spans="2:6" x14ac:dyDescent="0.25">
      <c r="B25" s="31">
        <v>100</v>
      </c>
      <c r="C25" s="15" t="s">
        <v>32</v>
      </c>
      <c r="D25" s="15" t="s">
        <v>30</v>
      </c>
      <c r="E25" s="32">
        <f t="shared" si="0"/>
        <v>100000000</v>
      </c>
      <c r="F25" s="28"/>
    </row>
    <row r="26" spans="2:6" x14ac:dyDescent="0.25">
      <c r="B26" s="31">
        <v>10</v>
      </c>
      <c r="C26" s="15" t="s">
        <v>33</v>
      </c>
      <c r="D26" s="15" t="s">
        <v>30</v>
      </c>
      <c r="E26" s="32">
        <f t="shared" si="0"/>
        <v>10000000</v>
      </c>
      <c r="F26" s="28"/>
    </row>
    <row r="27" spans="2:6" x14ac:dyDescent="0.25">
      <c r="B27" s="31">
        <v>0</v>
      </c>
      <c r="C27" s="15" t="s">
        <v>34</v>
      </c>
      <c r="D27" s="15" t="s">
        <v>30</v>
      </c>
      <c r="E27" s="32">
        <f t="shared" si="0"/>
        <v>0</v>
      </c>
      <c r="F27" s="28"/>
    </row>
    <row r="28" spans="3:5" x14ac:dyDescent="0.25">
      <c r="C28" s="15" t="s">
        <v>35</v>
      </c>
      <c r="D28" s="15" t="s">
        <v>22</v>
      </c>
      <c r="E28" s="33">
        <f>E17</f>
        <v>187.5</v>
      </c>
    </row>
    <row r="29" ht="16" customHeight="1" spans="3:5" x14ac:dyDescent="0.25">
      <c r="C29" s="34" t="s">
        <v>36</v>
      </c>
      <c r="D29" s="34" t="s">
        <v>22</v>
      </c>
      <c r="E29" s="35">
        <v>0</v>
      </c>
    </row>
    <row r="30" ht="16" customHeight="1" spans="3:5" x14ac:dyDescent="0.25">
      <c r="C30" s="15" t="s">
        <v>37</v>
      </c>
      <c r="D30" s="15"/>
      <c r="E30" s="36">
        <v>0.12</v>
      </c>
    </row>
    <row r="31" spans="3:14" x14ac:dyDescent="0.25">
      <c r="C31" s="15" t="s">
        <v>38</v>
      </c>
      <c r="D31" s="15" t="s">
        <v>39</v>
      </c>
      <c r="E31" s="37">
        <f>+'Resumen business case'!D39</f>
        <v>3</v>
      </c>
      <c r="N31" s="38" t="s">
        <v>40</v>
      </c>
    </row>
    <row r="32" ht="16" customHeight="1" spans="3:14" x14ac:dyDescent="0.25">
      <c r="C32" s="34" t="s">
        <v>41</v>
      </c>
      <c r="D32" s="34"/>
      <c r="E32" s="39">
        <f>+'Resumen business case'!H44</f>
        <v>0.2256685001525658</v>
      </c>
      <c r="N32" s="40">
        <f t="shared" ref="I32:N32" si="1">$I$27</f>
        <v>0</v>
      </c>
    </row>
    <row r="33" ht="16" customHeight="1" spans="3:14" x14ac:dyDescent="0.25">
      <c r="C33" s="41" t="s">
        <v>6</v>
      </c>
      <c r="D33" s="41"/>
      <c r="E33" s="36">
        <f>J10</f>
        <v>0.47176986839988566</v>
      </c>
      <c r="N33" s="42"/>
    </row>
    <row r="34" ht="16" customHeight="1" spans="3:5" x14ac:dyDescent="0.25">
      <c r="C34" s="43" t="s">
        <v>9</v>
      </c>
      <c r="D34" s="43"/>
      <c r="E34" s="44">
        <f>+J11</f>
        <v>331.56079635005574</v>
      </c>
    </row>
    <row r="35" spans="3:5" x14ac:dyDescent="0.25">
      <c r="C35" s="1"/>
      <c r="D35" s="1"/>
      <c r="E35" s="1"/>
    </row>
    <row r="36" ht="16" customHeight="1" x14ac:dyDescent="0.25"/>
    <row r="37" ht="19.75" customHeight="1" spans="3:5" x14ac:dyDescent="0.25">
      <c r="C37" s="45" t="s">
        <v>42</v>
      </c>
      <c r="D37" s="46"/>
      <c r="E37" s="46"/>
    </row>
    <row r="38" ht="19.75" customHeight="1" spans="3:5" x14ac:dyDescent="0.25">
      <c r="C38" s="47"/>
      <c r="D38" s="47"/>
      <c r="E38" s="47"/>
    </row>
    <row r="39" ht="14.5" customHeight="1" spans="3:5" x14ac:dyDescent="0.25">
      <c r="C39" s="48" t="s">
        <v>43</v>
      </c>
      <c r="D39" s="49" t="s">
        <v>44</v>
      </c>
      <c r="E39" s="49"/>
    </row>
    <row r="40" ht="14.5" customHeight="1" spans="3:5" x14ac:dyDescent="0.25">
      <c r="C40" s="48" t="s">
        <v>45</v>
      </c>
      <c r="D40" s="49" t="s">
        <v>46</v>
      </c>
      <c r="E40" s="49"/>
    </row>
    <row r="41" ht="14.5" customHeight="1" spans="3:5" x14ac:dyDescent="0.25">
      <c r="C41" s="48" t="s">
        <v>14</v>
      </c>
      <c r="D41" s="49">
        <v>547</v>
      </c>
      <c r="E41" s="49"/>
    </row>
    <row r="42" ht="14.5" customHeight="1" spans="3:7" x14ac:dyDescent="0.25">
      <c r="C42" s="50" t="s">
        <v>47</v>
      </c>
      <c r="D42" s="49" t="s">
        <v>48</v>
      </c>
      <c r="E42" s="49"/>
      <c r="G42" s="51"/>
    </row>
    <row r="43" ht="14.5" customHeight="1" spans="3:5" x14ac:dyDescent="0.25">
      <c r="C43" s="48" t="s">
        <v>10</v>
      </c>
      <c r="D43" s="49" t="str">
        <f>E12</f>
        <v>Americo Vespucio 2515</v>
      </c>
      <c r="E43" s="49"/>
    </row>
    <row r="44" ht="75" customHeight="1" spans="3:5" x14ac:dyDescent="0.25">
      <c r="C44" s="48" t="s">
        <v>49</v>
      </c>
      <c r="D44" s="52" t="s">
        <v>50</v>
      </c>
      <c r="E44" s="52"/>
    </row>
    <row r="45" ht="62.5" customHeight="1" spans="3:5" x14ac:dyDescent="0.25">
      <c r="C45" s="53" t="s">
        <v>51</v>
      </c>
      <c r="D45" s="49" t="s">
        <v>52</v>
      </c>
      <c r="E45" s="49"/>
    </row>
    <row r="46" ht="44.5" customHeight="1" spans="3:5" x14ac:dyDescent="0.25">
      <c r="C46" s="53" t="s">
        <v>53</v>
      </c>
      <c r="D46" s="49" t="s">
        <v>54</v>
      </c>
      <c r="E46" s="49"/>
    </row>
    <row r="47" ht="101" customHeight="1" spans="3:5" x14ac:dyDescent="0.25">
      <c r="C47" s="53" t="s">
        <v>55</v>
      </c>
      <c r="D47" s="49" t="s">
        <v>56</v>
      </c>
      <c r="E47" s="49"/>
    </row>
    <row r="48" ht="14.5" customHeight="1" spans="3:5" x14ac:dyDescent="0.25">
      <c r="C48" s="48" t="s">
        <v>57</v>
      </c>
      <c r="D48" s="49" t="s">
        <v>58</v>
      </c>
      <c r="E48" s="49"/>
    </row>
    <row r="49" spans="3:5" x14ac:dyDescent="0.25">
      <c r="C49" s="48" t="s">
        <v>59</v>
      </c>
      <c r="D49" s="54">
        <f>E19</f>
        <v>46236</v>
      </c>
      <c r="E49" s="49"/>
    </row>
    <row r="50" spans="3:5" x14ac:dyDescent="0.25">
      <c r="C50" s="48" t="str">
        <f>C20</f>
        <v>Periodo Gracia / Habilitación</v>
      </c>
      <c r="D50" s="55">
        <f>E20</f>
        <v>2</v>
      </c>
      <c r="E50" s="56"/>
    </row>
    <row r="51" ht="14.5" customHeight="1" spans="3:5" x14ac:dyDescent="0.25">
      <c r="C51" s="48" t="s">
        <v>60</v>
      </c>
      <c r="D51" s="54">
        <f>E21</f>
        <v>46298</v>
      </c>
      <c r="E51" s="49"/>
    </row>
    <row r="52" ht="14.5" customHeight="1" spans="3:5" x14ac:dyDescent="0.25">
      <c r="C52" s="48" t="s">
        <v>61</v>
      </c>
      <c r="D52" s="49" t="s">
        <v>62</v>
      </c>
      <c r="E52" s="49"/>
    </row>
    <row r="53" ht="96" customHeight="1" spans="3:5" x14ac:dyDescent="0.25">
      <c r="C53" s="48" t="s">
        <v>63</v>
      </c>
      <c r="D53" s="49" t="s">
        <v>64</v>
      </c>
      <c r="E53" s="49"/>
    </row>
    <row r="54" ht="14.5" customHeight="1" spans="3:5" x14ac:dyDescent="0.25">
      <c r="C54" s="48" t="s">
        <v>65</v>
      </c>
      <c r="D54" s="56">
        <f>E28</f>
        <v>187.5</v>
      </c>
      <c r="E54" s="56"/>
    </row>
    <row r="55" ht="14.5" customHeight="1" spans="3:5" x14ac:dyDescent="0.25">
      <c r="C55" s="48" t="s">
        <v>21</v>
      </c>
      <c r="D55" s="56">
        <f>E17</f>
        <v>187.5</v>
      </c>
      <c r="E55" s="56"/>
    </row>
    <row r="56" ht="14.5" customHeight="1" spans="3:6" x14ac:dyDescent="0.25">
      <c r="C56" s="48" t="s">
        <v>66</v>
      </c>
      <c r="D56" s="49" t="s">
        <v>67</v>
      </c>
      <c r="E56" s="49"/>
      <c r="F56" s="1"/>
    </row>
    <row r="57" ht="15" customHeight="1" spans="3:5" x14ac:dyDescent="0.25">
      <c r="C57" s="48" t="s">
        <v>68</v>
      </c>
      <c r="D57" s="49" t="s">
        <v>67</v>
      </c>
      <c r="E57" s="49"/>
    </row>
    <row r="58" ht="49" customHeight="1" spans="3:5" x14ac:dyDescent="0.25">
      <c r="C58" s="57" t="s">
        <v>69</v>
      </c>
      <c r="D58" s="58" t="s">
        <v>67</v>
      </c>
      <c r="E58" s="58"/>
    </row>
    <row r="61" spans="3:3" x14ac:dyDescent="0.25">
      <c r="C61" s="59" t="s">
        <v>70</v>
      </c>
    </row>
    <row r="62" spans="3:3" x14ac:dyDescent="0.25">
      <c r="C62" s="60" t="s">
        <v>71</v>
      </c>
    </row>
    <row r="63" spans="3:3" x14ac:dyDescent="0.25">
      <c r="C63" s="60" t="s">
        <v>72</v>
      </c>
    </row>
    <row r="64" spans="3:3" x14ac:dyDescent="0.25">
      <c r="C64" s="60" t="s">
        <v>73</v>
      </c>
    </row>
    <row r="65" spans="3:3" x14ac:dyDescent="0.25">
      <c r="C65" s="60" t="s">
        <v>74</v>
      </c>
    </row>
    <row r="66" spans="3:3" x14ac:dyDescent="0.25">
      <c r="C66" s="60" t="s">
        <v>75</v>
      </c>
    </row>
    <row r="67" spans="3:3" x14ac:dyDescent="0.25">
      <c r="C67" s="60" t="s">
        <v>76</v>
      </c>
    </row>
    <row r="68" spans="3:3" x14ac:dyDescent="0.25">
      <c r="C68" s="60" t="s">
        <v>77</v>
      </c>
    </row>
  </sheetData>
  <mergeCells count="14">
    <mergeCell ref="H10:H11"/>
    <mergeCell ref="C37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1:E5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selection activeCell="F30" sqref="F30"/>
    </sheetView>
  </sheetViews>
  <sheetFormatPr defaultRowHeight="15" outlineLevelRow="0" outlineLevelCol="0" x14ac:dyDescent="0"/>
  <sheetData>
    <row r="1" spans="2:2" x14ac:dyDescent="0.25">
      <c r="B1" s="171">
        <v>45925</v>
      </c>
    </row>
    <row r="2" spans="2:7" x14ac:dyDescent="0.25">
      <c r="B2">
        <v>2025</v>
      </c>
      <c r="C2">
        <v>2026</v>
      </c>
      <c r="D2">
        <v>2027</v>
      </c>
      <c r="E2">
        <v>2028</v>
      </c>
      <c r="F2">
        <v>2029</v>
      </c>
      <c r="G2">
        <v>2030</v>
      </c>
    </row>
    <row r="3" spans="1:7" x14ac:dyDescent="0.25">
      <c r="A3" t="s">
        <v>22</v>
      </c>
      <c r="B3">
        <v>39485.65</v>
      </c>
      <c r="C3" s="172">
        <f>+B3*1.034</f>
        <v>40828.1621</v>
      </c>
      <c r="D3" s="172">
        <f t="shared" ref="D3:G3" si="0">+C3*1.034</f>
        <v>42216.3196114</v>
      </c>
      <c r="E3" s="172">
        <f t="shared" si="0"/>
        <v>43651.674478187604</v>
      </c>
      <c r="F3" s="172">
        <f t="shared" si="0"/>
        <v>45135.831410445986</v>
      </c>
      <c r="G3" s="172">
        <f t="shared" si="0"/>
        <v>46670.44967840115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</vt:lpstr>
      <vt:lpstr>Resumen business case</vt:lpstr>
      <vt:lpstr>Supuestos</vt:lpstr>
      <vt:lpstr>WACC Data</vt:lpstr>
    </vt:vector>
  </TitlesOfParts>
  <Company>Inchcape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Manuel   IPLC</dc:creator>
  <dc:title/>
  <dc:subject/>
  <dc:description/>
  <cp:keywords/>
  <cp:category/>
  <cp:lastModifiedBy>Matias Andres Strube Ellenberg</cp:lastModifiedBy>
  <cp:lastPrinted>2025-08-06T13:36:07Z</cp:lastPrinted>
  <cp:contentStatus/>
  <dcterms:created xsi:type="dcterms:W3CDTF">2016-06-09T13:11:25Z</dcterms:created>
  <dcterms:modified xsi:type="dcterms:W3CDTF">2026-06-05T00:24:23Z</dcterms:modified>
</cp:coreProperties>
</file>